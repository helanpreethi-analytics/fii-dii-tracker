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6ee57e6e14e52454/Desktop/"/>
    </mc:Choice>
  </mc:AlternateContent>
  <xr:revisionPtr revIDLastSave="0" documentId="8_{C1925641-CAE1-43D1-8996-0DCB771B67A9}" xr6:coauthVersionLast="47" xr6:coauthVersionMax="47" xr10:uidLastSave="{00000000-0000-0000-0000-000000000000}"/>
  <bookViews>
    <workbookView xWindow="-108" yWindow="-108" windowWidth="23256" windowHeight="12456" tabRatio="902" xr2:uid="{E387C254-B27E-466A-9CE1-46A17F004616}"/>
  </bookViews>
  <sheets>
    <sheet name="Dashboard" sheetId="10" r:id="rId1"/>
    <sheet name="FII_DII_raw_synthetic_Jan-Jun20" sheetId="2" r:id="rId2"/>
    <sheet name="Flow_Model" sheetId="6" r:id="rId3"/>
    <sheet name="Sector_Rotation" sheetId="9" r:id="rId4"/>
    <sheet name="Sector_PE_Snapshot" sheetId="5" r:id="rId5"/>
    <sheet name="Nifty 50 Historical Data" sheetId="4" r:id="rId6"/>
    <sheet name="Data_Audit" sheetId="3" r:id="rId7"/>
    <sheet name="SectorMap " sheetId="1" r:id="rId8"/>
  </sheets>
  <definedNames>
    <definedName name="ExternalData_1" localSheetId="1" hidden="1">'FII_DII_raw_synthetic_Jan-Jun20'!$A$1:$G$879</definedName>
    <definedName name="ExternalData_1" localSheetId="5" hidden="1">'Nifty 50 Historical Data'!$A$1:$G$120</definedName>
    <definedName name="ExternalData_2" localSheetId="4" hidden="1">Sector_PE_Snapshot!$A$1:$D$11</definedName>
    <definedName name="_xlnm.Print_Area" localSheetId="0">Dashboard!$C$3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0" l="1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7" i="10"/>
  <c r="C142" i="10"/>
  <c r="C141" i="10"/>
  <c r="B14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D3" i="10"/>
  <c r="B3" i="10"/>
  <c r="AH4" i="6"/>
  <c r="AH5" i="6" s="1"/>
  <c r="AH6" i="6" s="1"/>
  <c r="AH3" i="6"/>
  <c r="AH2" i="6"/>
  <c r="AF2" i="6"/>
  <c r="AE2" i="6"/>
  <c r="B3" i="9"/>
  <c r="C3" i="9"/>
  <c r="D3" i="9"/>
  <c r="E3" i="9"/>
  <c r="F3" i="9"/>
  <c r="G3" i="9"/>
  <c r="H3" i="9"/>
  <c r="I3" i="9"/>
  <c r="J3" i="9"/>
  <c r="K3" i="9"/>
  <c r="B4" i="9"/>
  <c r="C4" i="9"/>
  <c r="D4" i="9"/>
  <c r="E4" i="9"/>
  <c r="F4" i="9"/>
  <c r="G4" i="9"/>
  <c r="H4" i="9"/>
  <c r="I4" i="9"/>
  <c r="J4" i="9"/>
  <c r="K4" i="9"/>
  <c r="B5" i="9"/>
  <c r="C5" i="9"/>
  <c r="D5" i="9"/>
  <c r="E5" i="9"/>
  <c r="F5" i="9"/>
  <c r="G5" i="9"/>
  <c r="H5" i="9"/>
  <c r="I5" i="9"/>
  <c r="J5" i="9"/>
  <c r="K5" i="9"/>
  <c r="B6" i="9"/>
  <c r="C6" i="9"/>
  <c r="D6" i="9"/>
  <c r="E6" i="9"/>
  <c r="F6" i="9"/>
  <c r="G6" i="9"/>
  <c r="H6" i="9"/>
  <c r="I6" i="9"/>
  <c r="J6" i="9"/>
  <c r="K6" i="9"/>
  <c r="B7" i="9"/>
  <c r="C7" i="9"/>
  <c r="D7" i="9"/>
  <c r="E7" i="9"/>
  <c r="F7" i="9"/>
  <c r="G7" i="9"/>
  <c r="H7" i="9"/>
  <c r="I7" i="9"/>
  <c r="J7" i="9"/>
  <c r="K7" i="9"/>
  <c r="B8" i="9"/>
  <c r="C8" i="9"/>
  <c r="D8" i="9"/>
  <c r="E8" i="9"/>
  <c r="F8" i="9"/>
  <c r="G8" i="9"/>
  <c r="H8" i="9"/>
  <c r="I8" i="9"/>
  <c r="J8" i="9"/>
  <c r="K8" i="9"/>
  <c r="B9" i="9"/>
  <c r="C9" i="9"/>
  <c r="D9" i="9"/>
  <c r="E9" i="9"/>
  <c r="F9" i="9"/>
  <c r="G9" i="9"/>
  <c r="H9" i="9"/>
  <c r="I9" i="9"/>
  <c r="J9" i="9"/>
  <c r="K9" i="9"/>
  <c r="B10" i="9"/>
  <c r="C10" i="9"/>
  <c r="D10" i="9"/>
  <c r="E10" i="9"/>
  <c r="F10" i="9"/>
  <c r="G10" i="9"/>
  <c r="H10" i="9"/>
  <c r="I10" i="9"/>
  <c r="J10" i="9"/>
  <c r="K10" i="9"/>
  <c r="B11" i="9"/>
  <c r="C11" i="9"/>
  <c r="D11" i="9"/>
  <c r="E11" i="9"/>
  <c r="F11" i="9"/>
  <c r="G11" i="9"/>
  <c r="H11" i="9"/>
  <c r="I11" i="9"/>
  <c r="J11" i="9"/>
  <c r="K11" i="9"/>
  <c r="B12" i="9"/>
  <c r="C12" i="9"/>
  <c r="D12" i="9"/>
  <c r="E12" i="9"/>
  <c r="F12" i="9"/>
  <c r="G12" i="9"/>
  <c r="H12" i="9"/>
  <c r="I12" i="9"/>
  <c r="J12" i="9"/>
  <c r="K12" i="9"/>
  <c r="B13" i="9"/>
  <c r="C13" i="9"/>
  <c r="D13" i="9"/>
  <c r="E13" i="9"/>
  <c r="F13" i="9"/>
  <c r="G13" i="9"/>
  <c r="H13" i="9"/>
  <c r="I13" i="9"/>
  <c r="J13" i="9"/>
  <c r="K13" i="9"/>
  <c r="B14" i="9"/>
  <c r="C14" i="9"/>
  <c r="D14" i="9"/>
  <c r="E14" i="9"/>
  <c r="F14" i="9"/>
  <c r="G14" i="9"/>
  <c r="H14" i="9"/>
  <c r="I14" i="9"/>
  <c r="J14" i="9"/>
  <c r="K14" i="9"/>
  <c r="B15" i="9"/>
  <c r="C15" i="9"/>
  <c r="D15" i="9"/>
  <c r="E15" i="9"/>
  <c r="F15" i="9"/>
  <c r="G15" i="9"/>
  <c r="H15" i="9"/>
  <c r="I15" i="9"/>
  <c r="J15" i="9"/>
  <c r="K15" i="9"/>
  <c r="B16" i="9"/>
  <c r="C16" i="9"/>
  <c r="D16" i="9"/>
  <c r="E16" i="9"/>
  <c r="F16" i="9"/>
  <c r="G16" i="9"/>
  <c r="H16" i="9"/>
  <c r="I16" i="9"/>
  <c r="J16" i="9"/>
  <c r="K16" i="9"/>
  <c r="B17" i="9"/>
  <c r="C17" i="9"/>
  <c r="D17" i="9"/>
  <c r="E17" i="9"/>
  <c r="F17" i="9"/>
  <c r="G17" i="9"/>
  <c r="H17" i="9"/>
  <c r="I17" i="9"/>
  <c r="J17" i="9"/>
  <c r="K17" i="9"/>
  <c r="B18" i="9"/>
  <c r="C18" i="9"/>
  <c r="D18" i="9"/>
  <c r="E18" i="9"/>
  <c r="F18" i="9"/>
  <c r="G18" i="9"/>
  <c r="H18" i="9"/>
  <c r="I18" i="9"/>
  <c r="J18" i="9"/>
  <c r="K18" i="9"/>
  <c r="B19" i="9"/>
  <c r="C19" i="9"/>
  <c r="D19" i="9"/>
  <c r="E19" i="9"/>
  <c r="F19" i="9"/>
  <c r="G19" i="9"/>
  <c r="H19" i="9"/>
  <c r="I19" i="9"/>
  <c r="J19" i="9"/>
  <c r="K19" i="9"/>
  <c r="B20" i="9"/>
  <c r="C20" i="9"/>
  <c r="D20" i="9"/>
  <c r="E20" i="9"/>
  <c r="F20" i="9"/>
  <c r="G20" i="9"/>
  <c r="H20" i="9"/>
  <c r="I20" i="9"/>
  <c r="J20" i="9"/>
  <c r="K20" i="9"/>
  <c r="B21" i="9"/>
  <c r="C21" i="9"/>
  <c r="D21" i="9"/>
  <c r="E21" i="9"/>
  <c r="F21" i="9"/>
  <c r="G21" i="9"/>
  <c r="H21" i="9"/>
  <c r="I21" i="9"/>
  <c r="J21" i="9"/>
  <c r="K21" i="9"/>
  <c r="B22" i="9"/>
  <c r="C22" i="9"/>
  <c r="D22" i="9"/>
  <c r="E22" i="9"/>
  <c r="F22" i="9"/>
  <c r="G22" i="9"/>
  <c r="H22" i="9"/>
  <c r="I22" i="9"/>
  <c r="J22" i="9"/>
  <c r="K22" i="9"/>
  <c r="B23" i="9"/>
  <c r="C23" i="9"/>
  <c r="D23" i="9"/>
  <c r="E23" i="9"/>
  <c r="F23" i="9"/>
  <c r="G23" i="9"/>
  <c r="H23" i="9"/>
  <c r="I23" i="9"/>
  <c r="J23" i="9"/>
  <c r="K23" i="9"/>
  <c r="B24" i="9"/>
  <c r="C24" i="9"/>
  <c r="D24" i="9"/>
  <c r="E24" i="9"/>
  <c r="F24" i="9"/>
  <c r="G24" i="9"/>
  <c r="H24" i="9"/>
  <c r="I24" i="9"/>
  <c r="J24" i="9"/>
  <c r="K24" i="9"/>
  <c r="B25" i="9"/>
  <c r="C25" i="9"/>
  <c r="D25" i="9"/>
  <c r="E25" i="9"/>
  <c r="F25" i="9"/>
  <c r="G25" i="9"/>
  <c r="H25" i="9"/>
  <c r="I25" i="9"/>
  <c r="J25" i="9"/>
  <c r="K25" i="9"/>
  <c r="B26" i="9"/>
  <c r="C26" i="9"/>
  <c r="D26" i="9"/>
  <c r="E26" i="9"/>
  <c r="F26" i="9"/>
  <c r="G26" i="9"/>
  <c r="H26" i="9"/>
  <c r="I26" i="9"/>
  <c r="J26" i="9"/>
  <c r="K26" i="9"/>
  <c r="B27" i="9"/>
  <c r="C27" i="9"/>
  <c r="D27" i="9"/>
  <c r="E27" i="9"/>
  <c r="F27" i="9"/>
  <c r="G27" i="9"/>
  <c r="H27" i="9"/>
  <c r="I27" i="9"/>
  <c r="J27" i="9"/>
  <c r="K27" i="9"/>
  <c r="B28" i="9"/>
  <c r="C28" i="9"/>
  <c r="D28" i="9"/>
  <c r="E28" i="9"/>
  <c r="F28" i="9"/>
  <c r="G28" i="9"/>
  <c r="H28" i="9"/>
  <c r="I28" i="9"/>
  <c r="J28" i="9"/>
  <c r="K28" i="9"/>
  <c r="K2" i="9"/>
  <c r="J2" i="9"/>
  <c r="I2" i="9"/>
  <c r="H2" i="9"/>
  <c r="G2" i="9"/>
  <c r="F2" i="9"/>
  <c r="E2" i="9"/>
  <c r="D2" i="9"/>
  <c r="C2" i="9"/>
  <c r="B2" i="9"/>
  <c r="A2" i="9" a="1"/>
  <c r="A2" i="9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Y125" i="6"/>
  <c r="Y127" i="6"/>
  <c r="T8" i="6"/>
  <c r="T106" i="6"/>
  <c r="T110" i="6"/>
  <c r="T111" i="6"/>
  <c r="T117" i="6"/>
  <c r="T126" i="6"/>
  <c r="L9" i="6"/>
  <c r="M9" i="6"/>
  <c r="O9" i="6"/>
  <c r="P9" i="6"/>
  <c r="G10" i="6"/>
  <c r="H10" i="6"/>
  <c r="G17" i="6"/>
  <c r="K17" i="6"/>
  <c r="L17" i="6"/>
  <c r="N17" i="6"/>
  <c r="O17" i="6"/>
  <c r="P17" i="6"/>
  <c r="M24" i="6"/>
  <c r="H25" i="6"/>
  <c r="I25" i="6"/>
  <c r="L25" i="6"/>
  <c r="O25" i="6"/>
  <c r="G26" i="6"/>
  <c r="G32" i="6"/>
  <c r="J32" i="6"/>
  <c r="K32" i="6"/>
  <c r="N32" i="6"/>
  <c r="H33" i="6"/>
  <c r="I33" i="6"/>
  <c r="M38" i="6"/>
  <c r="O38" i="6"/>
  <c r="H39" i="6"/>
  <c r="J39" i="6"/>
  <c r="M39" i="6"/>
  <c r="G40" i="6"/>
  <c r="N44" i="6"/>
  <c r="O44" i="6"/>
  <c r="P44" i="6"/>
  <c r="H45" i="6"/>
  <c r="J45" i="6"/>
  <c r="K45" i="6"/>
  <c r="P49" i="6"/>
  <c r="G50" i="6"/>
  <c r="H50" i="6"/>
  <c r="O50" i="6"/>
  <c r="G51" i="6"/>
  <c r="I51" i="6"/>
  <c r="L55" i="6"/>
  <c r="M55" i="6"/>
  <c r="P55" i="6"/>
  <c r="H56" i="6"/>
  <c r="J56" i="6"/>
  <c r="K56" i="6"/>
  <c r="G61" i="6"/>
  <c r="H61" i="6"/>
  <c r="I61" i="6"/>
  <c r="J61" i="6"/>
  <c r="O61" i="6"/>
  <c r="P61" i="6"/>
  <c r="I66" i="6"/>
  <c r="J66" i="6"/>
  <c r="K66" i="6"/>
  <c r="M66" i="6"/>
  <c r="P66" i="6"/>
  <c r="G67" i="6"/>
  <c r="I71" i="6"/>
  <c r="J71" i="6"/>
  <c r="K71" i="6"/>
  <c r="L71" i="6"/>
  <c r="N71" i="6"/>
  <c r="I72" i="6"/>
  <c r="J76" i="6"/>
  <c r="M76" i="6"/>
  <c r="O76" i="6"/>
  <c r="H77" i="6"/>
  <c r="I77" i="6"/>
  <c r="J77" i="6"/>
  <c r="J81" i="6"/>
  <c r="K81" i="6"/>
  <c r="L81" i="6"/>
  <c r="M81" i="6"/>
  <c r="O81" i="6"/>
  <c r="G82" i="6"/>
  <c r="K85" i="6"/>
  <c r="P85" i="6"/>
  <c r="G86" i="6"/>
  <c r="H86" i="6"/>
  <c r="J86" i="6"/>
  <c r="M86" i="6"/>
  <c r="J89" i="6"/>
  <c r="O89" i="6"/>
  <c r="P89" i="6"/>
  <c r="G90" i="6"/>
  <c r="O90" i="6"/>
  <c r="P90" i="6"/>
  <c r="K93" i="6"/>
  <c r="L93" i="6"/>
  <c r="M93" i="6"/>
  <c r="N93" i="6"/>
  <c r="P93" i="6"/>
  <c r="N94" i="6"/>
  <c r="P97" i="6"/>
  <c r="H98" i="6"/>
  <c r="I98" i="6"/>
  <c r="J98" i="6"/>
  <c r="K98" i="6"/>
  <c r="L98" i="6"/>
  <c r="H101" i="6"/>
  <c r="M101" i="6"/>
  <c r="O101" i="6"/>
  <c r="P101" i="6"/>
  <c r="J102" i="6"/>
  <c r="K102" i="6"/>
  <c r="P104" i="6"/>
  <c r="G105" i="6"/>
  <c r="H105" i="6"/>
  <c r="K105" i="6"/>
  <c r="L105" i="6"/>
  <c r="G106" i="6"/>
  <c r="H108" i="6"/>
  <c r="I108" i="6"/>
  <c r="O108" i="6"/>
  <c r="H109" i="6"/>
  <c r="I109" i="6"/>
  <c r="J109" i="6"/>
  <c r="K111" i="6"/>
  <c r="L111" i="6"/>
  <c r="M111" i="6"/>
  <c r="J112" i="6"/>
  <c r="K112" i="6"/>
  <c r="L112" i="6"/>
  <c r="G115" i="6"/>
  <c r="H115" i="6"/>
  <c r="I115" i="6"/>
  <c r="K115" i="6"/>
  <c r="L115" i="6"/>
  <c r="N115" i="6"/>
  <c r="P117" i="6"/>
  <c r="K118" i="6"/>
  <c r="M118" i="6"/>
  <c r="N118" i="6"/>
  <c r="I119" i="6"/>
  <c r="J119" i="6"/>
  <c r="L121" i="6"/>
  <c r="O121" i="6"/>
  <c r="P121" i="6"/>
  <c r="G122" i="6"/>
  <c r="H122" i="6"/>
  <c r="M122" i="6"/>
  <c r="N124" i="6"/>
  <c r="G125" i="6"/>
  <c r="L125" i="6"/>
  <c r="M125" i="6"/>
  <c r="N125" i="6"/>
  <c r="O125" i="6"/>
  <c r="O127" i="6"/>
  <c r="P127" i="6"/>
  <c r="G128" i="6"/>
  <c r="M128" i="6"/>
  <c r="O128" i="6"/>
  <c r="P128" i="6"/>
  <c r="B3" i="6"/>
  <c r="C8" i="10" s="1"/>
  <c r="C3" i="6"/>
  <c r="D8" i="10" s="1"/>
  <c r="B4" i="6"/>
  <c r="C9" i="10" s="1"/>
  <c r="C4" i="6"/>
  <c r="D9" i="10" s="1"/>
  <c r="B5" i="6"/>
  <c r="C10" i="10" s="1"/>
  <c r="C7" i="6"/>
  <c r="D12" i="10" s="1"/>
  <c r="C18" i="6"/>
  <c r="D23" i="10" s="1"/>
  <c r="B19" i="6"/>
  <c r="C24" i="10" s="1"/>
  <c r="B21" i="6"/>
  <c r="C26" i="10" s="1"/>
  <c r="C21" i="6"/>
  <c r="D26" i="10" s="1"/>
  <c r="B22" i="6"/>
  <c r="C27" i="10" s="1"/>
  <c r="C22" i="6"/>
  <c r="D27" i="10" s="1"/>
  <c r="B33" i="6"/>
  <c r="F33" i="6" s="1"/>
  <c r="C33" i="6"/>
  <c r="D38" i="10" s="1"/>
  <c r="C34" i="6"/>
  <c r="D39" i="10" s="1"/>
  <c r="B35" i="6"/>
  <c r="C40" i="10" s="1"/>
  <c r="C35" i="6"/>
  <c r="D40" i="10" s="1"/>
  <c r="B37" i="6"/>
  <c r="C42" i="10" s="1"/>
  <c r="B45" i="6"/>
  <c r="C50" i="10" s="1"/>
  <c r="C46" i="6"/>
  <c r="D51" i="10" s="1"/>
  <c r="B47" i="6"/>
  <c r="C52" i="10" s="1"/>
  <c r="C47" i="6"/>
  <c r="D52" i="10" s="1"/>
  <c r="C50" i="6"/>
  <c r="D55" i="10" s="1"/>
  <c r="C51" i="6"/>
  <c r="D56" i="10" s="1"/>
  <c r="B52" i="6"/>
  <c r="C57" i="10" s="1"/>
  <c r="B61" i="6"/>
  <c r="C66" i="10" s="1"/>
  <c r="C61" i="6"/>
  <c r="D66" i="10" s="1"/>
  <c r="B62" i="6"/>
  <c r="C67" i="10" s="1"/>
  <c r="C62" i="6"/>
  <c r="D67" i="10" s="1"/>
  <c r="B63" i="6"/>
  <c r="C68" i="10" s="1"/>
  <c r="C63" i="6"/>
  <c r="D68" i="10" s="1"/>
  <c r="B64" i="6"/>
  <c r="C69" i="10" s="1"/>
  <c r="B74" i="6"/>
  <c r="C79" i="10" s="1"/>
  <c r="B76" i="6"/>
  <c r="C81" i="10" s="1"/>
  <c r="B77" i="6"/>
  <c r="C82" i="10" s="1"/>
  <c r="C77" i="6"/>
  <c r="D82" i="10" s="1"/>
  <c r="C79" i="6"/>
  <c r="D84" i="10" s="1"/>
  <c r="B80" i="6"/>
  <c r="C85" i="10" s="1"/>
  <c r="C89" i="6"/>
  <c r="D94" i="10" s="1"/>
  <c r="B90" i="6"/>
  <c r="C95" i="10" s="1"/>
  <c r="C90" i="6"/>
  <c r="D95" i="10" s="1"/>
  <c r="B91" i="6"/>
  <c r="C96" i="10" s="1"/>
  <c r="B92" i="6"/>
  <c r="C97" i="10" s="1"/>
  <c r="C92" i="6"/>
  <c r="D97" i="10" s="1"/>
  <c r="B93" i="6"/>
  <c r="C98" i="10" s="1"/>
  <c r="C102" i="6"/>
  <c r="D107" i="10" s="1"/>
  <c r="B103" i="6"/>
  <c r="C108" i="10" s="1"/>
  <c r="C103" i="6"/>
  <c r="D108" i="10" s="1"/>
  <c r="C105" i="6"/>
  <c r="D110" i="10" s="1"/>
  <c r="B106" i="6"/>
  <c r="C111" i="10" s="1"/>
  <c r="C106" i="6"/>
  <c r="D111" i="10" s="1"/>
  <c r="B109" i="6"/>
  <c r="C114" i="10" s="1"/>
  <c r="B116" i="6"/>
  <c r="C121" i="10" s="1"/>
  <c r="C118" i="6"/>
  <c r="D123" i="10" s="1"/>
  <c r="C119" i="6"/>
  <c r="D124" i="10" s="1"/>
  <c r="B120" i="6"/>
  <c r="C125" i="10" s="1"/>
  <c r="B121" i="6"/>
  <c r="C126" i="10" s="1"/>
  <c r="C121" i="6"/>
  <c r="D126" i="10" s="1"/>
  <c r="B122" i="6"/>
  <c r="C127" i="10" s="1"/>
  <c r="A2" i="6" a="1"/>
  <c r="Y103" i="6" s="1"/>
  <c r="C38" i="10" l="1"/>
  <c r="F106" i="6"/>
  <c r="F92" i="6"/>
  <c r="F21" i="6"/>
  <c r="F47" i="6"/>
  <c r="F22" i="6"/>
  <c r="F90" i="6"/>
  <c r="F77" i="6"/>
  <c r="F4" i="6"/>
  <c r="F62" i="6"/>
  <c r="F61" i="6"/>
  <c r="F121" i="6"/>
  <c r="F3" i="6"/>
  <c r="F35" i="6"/>
  <c r="F103" i="6"/>
  <c r="F63" i="6"/>
  <c r="B32" i="6"/>
  <c r="C37" i="10" s="1"/>
  <c r="N100" i="6"/>
  <c r="B73" i="6"/>
  <c r="C78" i="10" s="1"/>
  <c r="M127" i="6"/>
  <c r="I124" i="6"/>
  <c r="J121" i="6"/>
  <c r="N117" i="6"/>
  <c r="L114" i="6"/>
  <c r="I111" i="6"/>
  <c r="M107" i="6"/>
  <c r="M104" i="6"/>
  <c r="M100" i="6"/>
  <c r="G97" i="6"/>
  <c r="H93" i="6"/>
  <c r="G89" i="6"/>
  <c r="L84" i="6"/>
  <c r="M80" i="6"/>
  <c r="L75" i="6"/>
  <c r="K70" i="6"/>
  <c r="I65" i="6"/>
  <c r="H60" i="6"/>
  <c r="L54" i="6"/>
  <c r="I49" i="6"/>
  <c r="L43" i="6"/>
  <c r="N37" i="6"/>
  <c r="N30" i="6"/>
  <c r="I23" i="6"/>
  <c r="L15" i="6"/>
  <c r="K7" i="6"/>
  <c r="T91" i="6"/>
  <c r="A2" i="6"/>
  <c r="Y3" i="6"/>
  <c r="Y19" i="6"/>
  <c r="Y35" i="6"/>
  <c r="Y51" i="6"/>
  <c r="Y67" i="6"/>
  <c r="Y83" i="6"/>
  <c r="Y99" i="6"/>
  <c r="Y115" i="6"/>
  <c r="T17" i="6"/>
  <c r="T33" i="6"/>
  <c r="T49" i="6"/>
  <c r="T65" i="6"/>
  <c r="T81" i="6"/>
  <c r="T97" i="6"/>
  <c r="T113" i="6"/>
  <c r="T129" i="6"/>
  <c r="K4" i="6"/>
  <c r="G6" i="6"/>
  <c r="M7" i="6"/>
  <c r="I9" i="6"/>
  <c r="O10" i="6"/>
  <c r="Y4" i="6"/>
  <c r="Y20" i="6"/>
  <c r="Y36" i="6"/>
  <c r="Y52" i="6"/>
  <c r="Y68" i="6"/>
  <c r="Y84" i="6"/>
  <c r="Y100" i="6"/>
  <c r="Y116" i="6"/>
  <c r="T18" i="6"/>
  <c r="T34" i="6"/>
  <c r="T50" i="6"/>
  <c r="T66" i="6"/>
  <c r="T82" i="6"/>
  <c r="T98" i="6"/>
  <c r="T114" i="6"/>
  <c r="L4" i="6"/>
  <c r="H6" i="6"/>
  <c r="N7" i="6"/>
  <c r="J9" i="6"/>
  <c r="P10" i="6"/>
  <c r="L12" i="6"/>
  <c r="H14" i="6"/>
  <c r="N15" i="6"/>
  <c r="J17" i="6"/>
  <c r="P18" i="6"/>
  <c r="L20" i="6"/>
  <c r="H22" i="6"/>
  <c r="N23" i="6"/>
  <c r="J25" i="6"/>
  <c r="P26" i="6"/>
  <c r="L28" i="6"/>
  <c r="H30" i="6"/>
  <c r="N31" i="6"/>
  <c r="J33" i="6"/>
  <c r="P34" i="6"/>
  <c r="L36" i="6"/>
  <c r="H38" i="6"/>
  <c r="Y5" i="6"/>
  <c r="Y9" i="6"/>
  <c r="Y25" i="6"/>
  <c r="Y41" i="6"/>
  <c r="Y57" i="6"/>
  <c r="Y73" i="6"/>
  <c r="Y89" i="6"/>
  <c r="Y105" i="6"/>
  <c r="Y121" i="6"/>
  <c r="T7" i="6"/>
  <c r="T23" i="6"/>
  <c r="T39" i="6"/>
  <c r="T55" i="6"/>
  <c r="T71" i="6"/>
  <c r="T87" i="6"/>
  <c r="T103" i="6"/>
  <c r="T119" i="6"/>
  <c r="K3" i="6"/>
  <c r="G5" i="6"/>
  <c r="M6" i="6"/>
  <c r="Y6" i="6"/>
  <c r="Y26" i="6"/>
  <c r="Y45" i="6"/>
  <c r="Y64" i="6"/>
  <c r="Y85" i="6"/>
  <c r="Y104" i="6"/>
  <c r="Y124" i="6"/>
  <c r="T4" i="6"/>
  <c r="T24" i="6"/>
  <c r="T43" i="6"/>
  <c r="T62" i="6"/>
  <c r="T83" i="6"/>
  <c r="T102" i="6"/>
  <c r="T122" i="6"/>
  <c r="Y7" i="6"/>
  <c r="Y27" i="6"/>
  <c r="Y46" i="6"/>
  <c r="Y65" i="6"/>
  <c r="Y86" i="6"/>
  <c r="Y106" i="6"/>
  <c r="Y8" i="6"/>
  <c r="Y28" i="6"/>
  <c r="Y47" i="6"/>
  <c r="Y66" i="6"/>
  <c r="Y87" i="6"/>
  <c r="Y107" i="6"/>
  <c r="Y126" i="6"/>
  <c r="T6" i="6"/>
  <c r="T26" i="6"/>
  <c r="T45" i="6"/>
  <c r="T64" i="6"/>
  <c r="T85" i="6"/>
  <c r="T105" i="6"/>
  <c r="T124" i="6"/>
  <c r="M4" i="6"/>
  <c r="L6" i="6"/>
  <c r="K8" i="6"/>
  <c r="I10" i="6"/>
  <c r="G12" i="6"/>
  <c r="N13" i="6"/>
  <c r="K15" i="6"/>
  <c r="H17" i="6"/>
  <c r="O18" i="6"/>
  <c r="M20" i="6"/>
  <c r="J22" i="6"/>
  <c r="G24" i="6"/>
  <c r="N25" i="6"/>
  <c r="K27" i="6"/>
  <c r="H29" i="6"/>
  <c r="O30" i="6"/>
  <c r="L32" i="6"/>
  <c r="I34" i="6"/>
  <c r="P35" i="6"/>
  <c r="M37" i="6"/>
  <c r="Y13" i="6"/>
  <c r="Y32" i="6"/>
  <c r="Y53" i="6"/>
  <c r="Y72" i="6"/>
  <c r="Y92" i="6"/>
  <c r="Y111" i="6"/>
  <c r="T11" i="6"/>
  <c r="T30" i="6"/>
  <c r="T51" i="6"/>
  <c r="T70" i="6"/>
  <c r="T90" i="6"/>
  <c r="T109" i="6"/>
  <c r="T128" i="6"/>
  <c r="H3" i="6"/>
  <c r="H5" i="6"/>
  <c r="G7" i="6"/>
  <c r="O8" i="6"/>
  <c r="M10" i="6"/>
  <c r="K12" i="6"/>
  <c r="I14" i="6"/>
  <c r="P15" i="6"/>
  <c r="M17" i="6"/>
  <c r="J19" i="6"/>
  <c r="G21" i="6"/>
  <c r="N22" i="6"/>
  <c r="K24" i="6"/>
  <c r="H26" i="6"/>
  <c r="O27" i="6"/>
  <c r="L29" i="6"/>
  <c r="I31" i="6"/>
  <c r="P32" i="6"/>
  <c r="M34" i="6"/>
  <c r="J36" i="6"/>
  <c r="G38" i="6"/>
  <c r="N39" i="6"/>
  <c r="J41" i="6"/>
  <c r="P42" i="6"/>
  <c r="L44" i="6"/>
  <c r="H46" i="6"/>
  <c r="N47" i="6"/>
  <c r="J49" i="6"/>
  <c r="P50" i="6"/>
  <c r="L52" i="6"/>
  <c r="H54" i="6"/>
  <c r="N55" i="6"/>
  <c r="J57" i="6"/>
  <c r="P58" i="6"/>
  <c r="L60" i="6"/>
  <c r="Y10" i="6"/>
  <c r="Y34" i="6"/>
  <c r="Y60" i="6"/>
  <c r="Y88" i="6"/>
  <c r="Y113" i="6"/>
  <c r="T25" i="6"/>
  <c r="T48" i="6"/>
  <c r="T74" i="6"/>
  <c r="T96" i="6"/>
  <c r="T121" i="6"/>
  <c r="G4" i="6"/>
  <c r="J6" i="6"/>
  <c r="L8" i="6"/>
  <c r="L10" i="6"/>
  <c r="N12" i="6"/>
  <c r="M14" i="6"/>
  <c r="L16" i="6"/>
  <c r="K18" i="6"/>
  <c r="J20" i="6"/>
  <c r="K22" i="6"/>
  <c r="J24" i="6"/>
  <c r="J26" i="6"/>
  <c r="I28" i="6"/>
  <c r="Y11" i="6"/>
  <c r="Y37" i="6"/>
  <c r="Y61" i="6"/>
  <c r="Y90" i="6"/>
  <c r="Y114" i="6"/>
  <c r="T27" i="6"/>
  <c r="T52" i="6"/>
  <c r="T75" i="6"/>
  <c r="T99" i="6"/>
  <c r="T123" i="6"/>
  <c r="H4" i="6"/>
  <c r="K6" i="6"/>
  <c r="M8" i="6"/>
  <c r="N10" i="6"/>
  <c r="O12" i="6"/>
  <c r="N14" i="6"/>
  <c r="M16" i="6"/>
  <c r="L18" i="6"/>
  <c r="K20" i="6"/>
  <c r="L22" i="6"/>
  <c r="L24" i="6"/>
  <c r="K26" i="6"/>
  <c r="J28" i="6"/>
  <c r="J30" i="6"/>
  <c r="I32" i="6"/>
  <c r="H34" i="6"/>
  <c r="H36" i="6"/>
  <c r="I38" i="6"/>
  <c r="P39" i="6"/>
  <c r="M41" i="6"/>
  <c r="J43" i="6"/>
  <c r="Y17" i="6"/>
  <c r="Y43" i="6"/>
  <c r="Y71" i="6"/>
  <c r="Y96" i="6"/>
  <c r="Y122" i="6"/>
  <c r="T10" i="6"/>
  <c r="T35" i="6"/>
  <c r="T58" i="6"/>
  <c r="T80" i="6"/>
  <c r="T107" i="6"/>
  <c r="P4" i="6"/>
  <c r="I7" i="6"/>
  <c r="K9" i="6"/>
  <c r="K11" i="6"/>
  <c r="J13" i="6"/>
  <c r="I15" i="6"/>
  <c r="I17" i="6"/>
  <c r="I19" i="6"/>
  <c r="I21" i="6"/>
  <c r="H23" i="6"/>
  <c r="G25" i="6"/>
  <c r="G27" i="6"/>
  <c r="P28" i="6"/>
  <c r="P30" i="6"/>
  <c r="O32" i="6"/>
  <c r="O34" i="6"/>
  <c r="O36" i="6"/>
  <c r="N38" i="6"/>
  <c r="K40" i="6"/>
  <c r="H42" i="6"/>
  <c r="O43" i="6"/>
  <c r="L45" i="6"/>
  <c r="I47" i="6"/>
  <c r="P48" i="6"/>
  <c r="M50" i="6"/>
  <c r="J52" i="6"/>
  <c r="G54" i="6"/>
  <c r="O55" i="6"/>
  <c r="L57" i="6"/>
  <c r="I59" i="6"/>
  <c r="P60" i="6"/>
  <c r="L62" i="6"/>
  <c r="H64" i="6"/>
  <c r="N65" i="6"/>
  <c r="J67" i="6"/>
  <c r="P68" i="6"/>
  <c r="L70" i="6"/>
  <c r="H72" i="6"/>
  <c r="N73" i="6"/>
  <c r="J75" i="6"/>
  <c r="P76" i="6"/>
  <c r="L78" i="6"/>
  <c r="H80" i="6"/>
  <c r="N81" i="6"/>
  <c r="J83" i="6"/>
  <c r="P84" i="6"/>
  <c r="L86" i="6"/>
  <c r="H88" i="6"/>
  <c r="N89" i="6"/>
  <c r="J91" i="6"/>
  <c r="P92" i="6"/>
  <c r="L94" i="6"/>
  <c r="H96" i="6"/>
  <c r="N97" i="6"/>
  <c r="J99" i="6"/>
  <c r="P100" i="6"/>
  <c r="L102" i="6"/>
  <c r="H104" i="6"/>
  <c r="N105" i="6"/>
  <c r="J107" i="6"/>
  <c r="P108" i="6"/>
  <c r="L110" i="6"/>
  <c r="H112" i="6"/>
  <c r="N113" i="6"/>
  <c r="J115" i="6"/>
  <c r="P116" i="6"/>
  <c r="L118" i="6"/>
  <c r="H120" i="6"/>
  <c r="N121" i="6"/>
  <c r="J123" i="6"/>
  <c r="P124" i="6"/>
  <c r="L126" i="6"/>
  <c r="H128" i="6"/>
  <c r="N129" i="6"/>
  <c r="C8" i="6"/>
  <c r="D13" i="10" s="1"/>
  <c r="C16" i="6"/>
  <c r="D21" i="10" s="1"/>
  <c r="C24" i="6"/>
  <c r="D29" i="10" s="1"/>
  <c r="C32" i="6"/>
  <c r="D37" i="10" s="1"/>
  <c r="C40" i="6"/>
  <c r="D45" i="10" s="1"/>
  <c r="C48" i="6"/>
  <c r="C56" i="6"/>
  <c r="D61" i="10" s="1"/>
  <c r="C64" i="6"/>
  <c r="C72" i="6"/>
  <c r="D77" i="10" s="1"/>
  <c r="C80" i="6"/>
  <c r="D85" i="10" s="1"/>
  <c r="C88" i="6"/>
  <c r="C96" i="6"/>
  <c r="D101" i="10" s="1"/>
  <c r="C104" i="6"/>
  <c r="C112" i="6"/>
  <c r="D117" i="10" s="1"/>
  <c r="C120" i="6"/>
  <c r="D125" i="10" s="1"/>
  <c r="C128" i="6"/>
  <c r="D133" i="10" s="1"/>
  <c r="Y18" i="6"/>
  <c r="Y44" i="6"/>
  <c r="Y74" i="6"/>
  <c r="Y97" i="6"/>
  <c r="Y123" i="6"/>
  <c r="T12" i="6"/>
  <c r="T36" i="6"/>
  <c r="T59" i="6"/>
  <c r="T84" i="6"/>
  <c r="T108" i="6"/>
  <c r="Y12" i="6"/>
  <c r="Y48" i="6"/>
  <c r="Y79" i="6"/>
  <c r="Y117" i="6"/>
  <c r="T19" i="6"/>
  <c r="T53" i="6"/>
  <c r="T86" i="6"/>
  <c r="T116" i="6"/>
  <c r="J3" i="6"/>
  <c r="O5" i="6"/>
  <c r="N8" i="6"/>
  <c r="J11" i="6"/>
  <c r="M13" i="6"/>
  <c r="H16" i="6"/>
  <c r="J18" i="6"/>
  <c r="P20" i="6"/>
  <c r="J23" i="6"/>
  <c r="M25" i="6"/>
  <c r="G28" i="6"/>
  <c r="K30" i="6"/>
  <c r="M32" i="6"/>
  <c r="G35" i="6"/>
  <c r="H37" i="6"/>
  <c r="I39" i="6"/>
  <c r="H41" i="6"/>
  <c r="H43" i="6"/>
  <c r="G45" i="6"/>
  <c r="O46" i="6"/>
  <c r="M48" i="6"/>
  <c r="K50" i="6"/>
  <c r="I52" i="6"/>
  <c r="I54" i="6"/>
  <c r="G56" i="6"/>
  <c r="O57" i="6"/>
  <c r="M59" i="6"/>
  <c r="K61" i="6"/>
  <c r="H63" i="6"/>
  <c r="O64" i="6"/>
  <c r="L66" i="6"/>
  <c r="I68" i="6"/>
  <c r="P69" i="6"/>
  <c r="M71" i="6"/>
  <c r="J73" i="6"/>
  <c r="G75" i="6"/>
  <c r="N76" i="6"/>
  <c r="K78" i="6"/>
  <c r="I80" i="6"/>
  <c r="P81" i="6"/>
  <c r="M83" i="6"/>
  <c r="J85" i="6"/>
  <c r="G87" i="6"/>
  <c r="N88" i="6"/>
  <c r="K90" i="6"/>
  <c r="H92" i="6"/>
  <c r="O93" i="6"/>
  <c r="L95" i="6"/>
  <c r="I97" i="6"/>
  <c r="P98" i="6"/>
  <c r="Y15" i="6"/>
  <c r="Y50" i="6"/>
  <c r="Y81" i="6"/>
  <c r="Y119" i="6"/>
  <c r="T21" i="6"/>
  <c r="T56" i="6"/>
  <c r="T89" i="6"/>
  <c r="T118" i="6"/>
  <c r="M3" i="6"/>
  <c r="I6" i="6"/>
  <c r="G9" i="6"/>
  <c r="M11" i="6"/>
  <c r="P13" i="6"/>
  <c r="J16" i="6"/>
  <c r="N18" i="6"/>
  <c r="J21" i="6"/>
  <c r="L23" i="6"/>
  <c r="P25" i="6"/>
  <c r="K28" i="6"/>
  <c r="M30" i="6"/>
  <c r="G33" i="6"/>
  <c r="I35" i="6"/>
  <c r="J37" i="6"/>
  <c r="K39" i="6"/>
  <c r="K41" i="6"/>
  <c r="K43" i="6"/>
  <c r="I45" i="6"/>
  <c r="G47" i="6"/>
  <c r="O48" i="6"/>
  <c r="N50" i="6"/>
  <c r="M52" i="6"/>
  <c r="K54" i="6"/>
  <c r="I56" i="6"/>
  <c r="G58" i="6"/>
  <c r="O59" i="6"/>
  <c r="M61" i="6"/>
  <c r="J63" i="6"/>
  <c r="G65" i="6"/>
  <c r="N66" i="6"/>
  <c r="K68" i="6"/>
  <c r="H70" i="6"/>
  <c r="O71" i="6"/>
  <c r="L73" i="6"/>
  <c r="I75" i="6"/>
  <c r="G77" i="6"/>
  <c r="N78" i="6"/>
  <c r="K80" i="6"/>
  <c r="H82" i="6"/>
  <c r="O83" i="6"/>
  <c r="L85" i="6"/>
  <c r="I87" i="6"/>
  <c r="P88" i="6"/>
  <c r="M90" i="6"/>
  <c r="J92" i="6"/>
  <c r="G94" i="6"/>
  <c r="N95" i="6"/>
  <c r="K97" i="6"/>
  <c r="H99" i="6"/>
  <c r="O100" i="6"/>
  <c r="M102" i="6"/>
  <c r="J104" i="6"/>
  <c r="Y23" i="6"/>
  <c r="Y58" i="6"/>
  <c r="Y94" i="6"/>
  <c r="Y128" i="6"/>
  <c r="T31" i="6"/>
  <c r="T63" i="6"/>
  <c r="T94" i="6"/>
  <c r="T127" i="6"/>
  <c r="Y14" i="6"/>
  <c r="Y56" i="6"/>
  <c r="Y101" i="6"/>
  <c r="T3" i="6"/>
  <c r="T41" i="6"/>
  <c r="T78" i="6"/>
  <c r="T120" i="6"/>
  <c r="J4" i="6"/>
  <c r="L7" i="6"/>
  <c r="J10" i="6"/>
  <c r="I13" i="6"/>
  <c r="G16" i="6"/>
  <c r="G19" i="6"/>
  <c r="M21" i="6"/>
  <c r="I24" i="6"/>
  <c r="H27" i="6"/>
  <c r="N29" i="6"/>
  <c r="H32" i="6"/>
  <c r="N34" i="6"/>
  <c r="K37" i="6"/>
  <c r="O39" i="6"/>
  <c r="G42" i="6"/>
  <c r="I44" i="6"/>
  <c r="J46" i="6"/>
  <c r="J48" i="6"/>
  <c r="J50" i="6"/>
  <c r="N52" i="6"/>
  <c r="N54" i="6"/>
  <c r="N56" i="6"/>
  <c r="N58" i="6"/>
  <c r="O60" i="6"/>
  <c r="O62" i="6"/>
  <c r="N64" i="6"/>
  <c r="O66" i="6"/>
  <c r="N68" i="6"/>
  <c r="N70" i="6"/>
  <c r="M72" i="6"/>
  <c r="L74" i="6"/>
  <c r="K76" i="6"/>
  <c r="J78" i="6"/>
  <c r="L80" i="6"/>
  <c r="K82" i="6"/>
  <c r="J84" i="6"/>
  <c r="I86" i="6"/>
  <c r="I88" i="6"/>
  <c r="H90" i="6"/>
  <c r="G92" i="6"/>
  <c r="H94" i="6"/>
  <c r="G96" i="6"/>
  <c r="G98" i="6"/>
  <c r="P99" i="6"/>
  <c r="N101" i="6"/>
  <c r="L103" i="6"/>
  <c r="J105" i="6"/>
  <c r="G107" i="6"/>
  <c r="N108" i="6"/>
  <c r="K110" i="6"/>
  <c r="I112" i="6"/>
  <c r="P113" i="6"/>
  <c r="M115" i="6"/>
  <c r="J117" i="6"/>
  <c r="G119" i="6"/>
  <c r="N120" i="6"/>
  <c r="K122" i="6"/>
  <c r="H124" i="6"/>
  <c r="Y16" i="6"/>
  <c r="Y59" i="6"/>
  <c r="Y102" i="6"/>
  <c r="T5" i="6"/>
  <c r="T42" i="6"/>
  <c r="T79" i="6"/>
  <c r="T125" i="6"/>
  <c r="Y24" i="6"/>
  <c r="Y69" i="6"/>
  <c r="Y109" i="6"/>
  <c r="T13" i="6"/>
  <c r="T47" i="6"/>
  <c r="T92" i="6"/>
  <c r="J5" i="6"/>
  <c r="H8" i="6"/>
  <c r="I11" i="6"/>
  <c r="G14" i="6"/>
  <c r="O16" i="6"/>
  <c r="M19" i="6"/>
  <c r="G22" i="6"/>
  <c r="P24" i="6"/>
  <c r="M27" i="6"/>
  <c r="I30" i="6"/>
  <c r="Y29" i="6"/>
  <c r="Y77" i="6"/>
  <c r="Y129" i="6"/>
  <c r="T16" i="6"/>
  <c r="T68" i="6"/>
  <c r="T112" i="6"/>
  <c r="K5" i="6"/>
  <c r="P8" i="6"/>
  <c r="H12" i="6"/>
  <c r="H15" i="6"/>
  <c r="H18" i="6"/>
  <c r="L21" i="6"/>
  <c r="N24" i="6"/>
  <c r="N27" i="6"/>
  <c r="G31" i="6"/>
  <c r="M33" i="6"/>
  <c r="I36" i="6"/>
  <c r="P38" i="6"/>
  <c r="I41" i="6"/>
  <c r="N43" i="6"/>
  <c r="P45" i="6"/>
  <c r="H48" i="6"/>
  <c r="I50" i="6"/>
  <c r="O52" i="6"/>
  <c r="P54" i="6"/>
  <c r="G57" i="6"/>
  <c r="J59" i="6"/>
  <c r="L61" i="6"/>
  <c r="M63" i="6"/>
  <c r="M65" i="6"/>
  <c r="N67" i="6"/>
  <c r="N69" i="6"/>
  <c r="P71" i="6"/>
  <c r="G74" i="6"/>
  <c r="G76" i="6"/>
  <c r="G78" i="6"/>
  <c r="G80" i="6"/>
  <c r="J82" i="6"/>
  <c r="K84" i="6"/>
  <c r="K86" i="6"/>
  <c r="L88" i="6"/>
  <c r="N90" i="6"/>
  <c r="N92" i="6"/>
  <c r="O94" i="6"/>
  <c r="O96" i="6"/>
  <c r="O98" i="6"/>
  <c r="G101" i="6"/>
  <c r="P102" i="6"/>
  <c r="O104" i="6"/>
  <c r="M106" i="6"/>
  <c r="K108" i="6"/>
  <c r="I110" i="6"/>
  <c r="G112" i="6"/>
  <c r="G114" i="6"/>
  <c r="O115" i="6"/>
  <c r="M117" i="6"/>
  <c r="K119" i="6"/>
  <c r="I121" i="6"/>
  <c r="G123" i="6"/>
  <c r="O124" i="6"/>
  <c r="M126" i="6"/>
  <c r="J128" i="6"/>
  <c r="B6" i="6"/>
  <c r="C14" i="6"/>
  <c r="D19" i="10" s="1"/>
  <c r="B23" i="6"/>
  <c r="C31" i="6"/>
  <c r="D36" i="10" s="1"/>
  <c r="B40" i="6"/>
  <c r="C45" i="10" s="1"/>
  <c r="B49" i="6"/>
  <c r="C54" i="10" s="1"/>
  <c r="C57" i="6"/>
  <c r="B66" i="6"/>
  <c r="C71" i="10" s="1"/>
  <c r="C74" i="6"/>
  <c r="B83" i="6"/>
  <c r="C88" i="10" s="1"/>
  <c r="C91" i="6"/>
  <c r="B100" i="6"/>
  <c r="C105" i="10" s="1"/>
  <c r="C108" i="6"/>
  <c r="B117" i="6"/>
  <c r="C122" i="10" s="1"/>
  <c r="C125" i="6"/>
  <c r="D130" i="10" s="1"/>
  <c r="Y30" i="6"/>
  <c r="Y78" i="6"/>
  <c r="T20" i="6"/>
  <c r="T69" i="6"/>
  <c r="T115" i="6"/>
  <c r="L5" i="6"/>
  <c r="H9" i="6"/>
  <c r="I12" i="6"/>
  <c r="J15" i="6"/>
  <c r="I18" i="6"/>
  <c r="N21" i="6"/>
  <c r="O24" i="6"/>
  <c r="P27" i="6"/>
  <c r="H31" i="6"/>
  <c r="N33" i="6"/>
  <c r="K36" i="6"/>
  <c r="G39" i="6"/>
  <c r="L41" i="6"/>
  <c r="P43" i="6"/>
  <c r="G46" i="6"/>
  <c r="I48" i="6"/>
  <c r="L50" i="6"/>
  <c r="P52" i="6"/>
  <c r="G55" i="6"/>
  <c r="H57" i="6"/>
  <c r="K59" i="6"/>
  <c r="N61" i="6"/>
  <c r="N63" i="6"/>
  <c r="O65" i="6"/>
  <c r="O67" i="6"/>
  <c r="O69" i="6"/>
  <c r="G72" i="6"/>
  <c r="H74" i="6"/>
  <c r="H76" i="6"/>
  <c r="H78" i="6"/>
  <c r="Y38" i="6"/>
  <c r="Y91" i="6"/>
  <c r="T29" i="6"/>
  <c r="T76" i="6"/>
  <c r="P5" i="6"/>
  <c r="N9" i="6"/>
  <c r="P12" i="6"/>
  <c r="O15" i="6"/>
  <c r="K19" i="6"/>
  <c r="I22" i="6"/>
  <c r="K25" i="6"/>
  <c r="N28" i="6"/>
  <c r="L31" i="6"/>
  <c r="G34" i="6"/>
  <c r="P36" i="6"/>
  <c r="L39" i="6"/>
  <c r="P41" i="6"/>
  <c r="J44" i="6"/>
  <c r="L46" i="6"/>
  <c r="N48" i="6"/>
  <c r="H51" i="6"/>
  <c r="I53" i="6"/>
  <c r="J55" i="6"/>
  <c r="M57" i="6"/>
  <c r="P59" i="6"/>
  <c r="G62" i="6"/>
  <c r="G64" i="6"/>
  <c r="H66" i="6"/>
  <c r="H68" i="6"/>
  <c r="J70" i="6"/>
  <c r="K72" i="6"/>
  <c r="K74" i="6"/>
  <c r="L76" i="6"/>
  <c r="O78" i="6"/>
  <c r="O80" i="6"/>
  <c r="O82" i="6"/>
  <c r="O84" i="6"/>
  <c r="P86" i="6"/>
  <c r="H89" i="6"/>
  <c r="H91" i="6"/>
  <c r="I93" i="6"/>
  <c r="I95" i="6"/>
  <c r="J97" i="6"/>
  <c r="L99" i="6"/>
  <c r="K101" i="6"/>
  <c r="J103" i="6"/>
  <c r="I105" i="6"/>
  <c r="H107" i="6"/>
  <c r="G109" i="6"/>
  <c r="O110" i="6"/>
  <c r="M112" i="6"/>
  <c r="K114" i="6"/>
  <c r="I116" i="6"/>
  <c r="G118" i="6"/>
  <c r="O119" i="6"/>
  <c r="M121" i="6"/>
  <c r="L123" i="6"/>
  <c r="J125" i="6"/>
  <c r="G127" i="6"/>
  <c r="N128" i="6"/>
  <c r="B8" i="6"/>
  <c r="C13" i="10" s="1"/>
  <c r="B17" i="6"/>
  <c r="C22" i="10" s="1"/>
  <c r="C25" i="6"/>
  <c r="D30" i="10" s="1"/>
  <c r="B34" i="6"/>
  <c r="C42" i="6"/>
  <c r="D47" i="10" s="1"/>
  <c r="B51" i="6"/>
  <c r="C56" i="10" s="1"/>
  <c r="C59" i="6"/>
  <c r="D64" i="10" s="1"/>
  <c r="B68" i="6"/>
  <c r="C73" i="10" s="1"/>
  <c r="C76" i="6"/>
  <c r="D81" i="10" s="1"/>
  <c r="B85" i="6"/>
  <c r="C90" i="10" s="1"/>
  <c r="C93" i="6"/>
  <c r="B102" i="6"/>
  <c r="C107" i="10" s="1"/>
  <c r="C110" i="6"/>
  <c r="D115" i="10" s="1"/>
  <c r="B119" i="6"/>
  <c r="C124" i="10" s="1"/>
  <c r="C127" i="6"/>
  <c r="D132" i="10" s="1"/>
  <c r="Y21" i="6"/>
  <c r="Y82" i="6"/>
  <c r="T9" i="6"/>
  <c r="T72" i="6"/>
  <c r="O6" i="6"/>
  <c r="K10" i="6"/>
  <c r="L14" i="6"/>
  <c r="G18" i="6"/>
  <c r="M22" i="6"/>
  <c r="I26" i="6"/>
  <c r="O29" i="6"/>
  <c r="K33" i="6"/>
  <c r="N36" i="6"/>
  <c r="H40" i="6"/>
  <c r="N42" i="6"/>
  <c r="M45" i="6"/>
  <c r="K48" i="6"/>
  <c r="J51" i="6"/>
  <c r="N53" i="6"/>
  <c r="L56" i="6"/>
  <c r="H59" i="6"/>
  <c r="H62" i="6"/>
  <c r="L64" i="6"/>
  <c r="H67" i="6"/>
  <c r="L69" i="6"/>
  <c r="J72" i="6"/>
  <c r="O74" i="6"/>
  <c r="K77" i="6"/>
  <c r="N79" i="6"/>
  <c r="I82" i="6"/>
  <c r="M84" i="6"/>
  <c r="H87" i="6"/>
  <c r="K89" i="6"/>
  <c r="N91" i="6"/>
  <c r="I94" i="6"/>
  <c r="L96" i="6"/>
  <c r="N98" i="6"/>
  <c r="I101" i="6"/>
  <c r="K103" i="6"/>
  <c r="M105" i="6"/>
  <c r="N107" i="6"/>
  <c r="N109" i="6"/>
  <c r="N111" i="6"/>
  <c r="O113" i="6"/>
  <c r="G116" i="6"/>
  <c r="H118" i="6"/>
  <c r="I120" i="6"/>
  <c r="I122" i="6"/>
  <c r="J124" i="6"/>
  <c r="I126" i="6"/>
  <c r="I128" i="6"/>
  <c r="C5" i="6"/>
  <c r="D10" i="10" s="1"/>
  <c r="C15" i="6"/>
  <c r="D20" i="10" s="1"/>
  <c r="Y22" i="6"/>
  <c r="Y93" i="6"/>
  <c r="T14" i="6"/>
  <c r="T73" i="6"/>
  <c r="P6" i="6"/>
  <c r="G11" i="6"/>
  <c r="O14" i="6"/>
  <c r="M18" i="6"/>
  <c r="O22" i="6"/>
  <c r="L26" i="6"/>
  <c r="P29" i="6"/>
  <c r="L33" i="6"/>
  <c r="G37" i="6"/>
  <c r="I40" i="6"/>
  <c r="O42" i="6"/>
  <c r="N45" i="6"/>
  <c r="L48" i="6"/>
  <c r="K51" i="6"/>
  <c r="O53" i="6"/>
  <c r="M56" i="6"/>
  <c r="L59" i="6"/>
  <c r="I62" i="6"/>
  <c r="M64" i="6"/>
  <c r="I67" i="6"/>
  <c r="M69" i="6"/>
  <c r="L72" i="6"/>
  <c r="P74" i="6"/>
  <c r="L77" i="6"/>
  <c r="O79" i="6"/>
  <c r="L82" i="6"/>
  <c r="N84" i="6"/>
  <c r="J87" i="6"/>
  <c r="L89" i="6"/>
  <c r="O91" i="6"/>
  <c r="J94" i="6"/>
  <c r="M96" i="6"/>
  <c r="G99" i="6"/>
  <c r="J101" i="6"/>
  <c r="M103" i="6"/>
  <c r="O105" i="6"/>
  <c r="O107" i="6"/>
  <c r="O109" i="6"/>
  <c r="O111" i="6"/>
  <c r="H114" i="6"/>
  <c r="H116" i="6"/>
  <c r="I118" i="6"/>
  <c r="J120" i="6"/>
  <c r="J122" i="6"/>
  <c r="K124" i="6"/>
  <c r="J126" i="6"/>
  <c r="K128" i="6"/>
  <c r="C6" i="6"/>
  <c r="B16" i="6"/>
  <c r="C21" i="10" s="1"/>
  <c r="C26" i="6"/>
  <c r="D31" i="10" s="1"/>
  <c r="B36" i="6"/>
  <c r="C41" i="10" s="1"/>
  <c r="C45" i="6"/>
  <c r="D50" i="10" s="1"/>
  <c r="B55" i="6"/>
  <c r="C60" i="10" s="1"/>
  <c r="B65" i="6"/>
  <c r="C70" i="10" s="1"/>
  <c r="B75" i="6"/>
  <c r="C84" i="6"/>
  <c r="D89" i="10" s="1"/>
  <c r="C94" i="6"/>
  <c r="D99" i="10" s="1"/>
  <c r="B104" i="6"/>
  <c r="C109" i="10" s="1"/>
  <c r="B114" i="6"/>
  <c r="C119" i="10" s="1"/>
  <c r="C123" i="6"/>
  <c r="D128" i="10" s="1"/>
  <c r="N59" i="6"/>
  <c r="M82" i="6"/>
  <c r="N103" i="6"/>
  <c r="K126" i="6"/>
  <c r="B7" i="6"/>
  <c r="C12" i="10" s="1"/>
  <c r="C17" i="6"/>
  <c r="D22" i="10" s="1"/>
  <c r="C36" i="6"/>
  <c r="B46" i="6"/>
  <c r="C51" i="10" s="1"/>
  <c r="C65" i="6"/>
  <c r="D70" i="10" s="1"/>
  <c r="C75" i="6"/>
  <c r="D80" i="10" s="1"/>
  <c r="B95" i="6"/>
  <c r="C100" i="10" s="1"/>
  <c r="C114" i="6"/>
  <c r="D119" i="10" s="1"/>
  <c r="B124" i="6"/>
  <c r="C129" i="10" s="1"/>
  <c r="Y31" i="6"/>
  <c r="Y95" i="6"/>
  <c r="T15" i="6"/>
  <c r="T77" i="6"/>
  <c r="H7" i="6"/>
  <c r="H11" i="6"/>
  <c r="P14" i="6"/>
  <c r="H19" i="6"/>
  <c r="P22" i="6"/>
  <c r="M26" i="6"/>
  <c r="G30" i="6"/>
  <c r="O33" i="6"/>
  <c r="I37" i="6"/>
  <c r="J40" i="6"/>
  <c r="G43" i="6"/>
  <c r="O45" i="6"/>
  <c r="G49" i="6"/>
  <c r="L51" i="6"/>
  <c r="P53" i="6"/>
  <c r="O56" i="6"/>
  <c r="J62" i="6"/>
  <c r="P64" i="6"/>
  <c r="K67" i="6"/>
  <c r="G70" i="6"/>
  <c r="N72" i="6"/>
  <c r="H75" i="6"/>
  <c r="M77" i="6"/>
  <c r="P79" i="6"/>
  <c r="G85" i="6"/>
  <c r="K87" i="6"/>
  <c r="M89" i="6"/>
  <c r="P91" i="6"/>
  <c r="K94" i="6"/>
  <c r="N96" i="6"/>
  <c r="I99" i="6"/>
  <c r="L101" i="6"/>
  <c r="P105" i="6"/>
  <c r="P107" i="6"/>
  <c r="P109" i="6"/>
  <c r="P111" i="6"/>
  <c r="I114" i="6"/>
  <c r="J116" i="6"/>
  <c r="J118" i="6"/>
  <c r="K120" i="6"/>
  <c r="L122" i="6"/>
  <c r="L124" i="6"/>
  <c r="L128" i="6"/>
  <c r="B27" i="6"/>
  <c r="C32" i="10" s="1"/>
  <c r="C55" i="6"/>
  <c r="D60" i="10" s="1"/>
  <c r="C85" i="6"/>
  <c r="D90" i="10" s="1"/>
  <c r="B105" i="6"/>
  <c r="C110" i="10" s="1"/>
  <c r="Y33" i="6"/>
  <c r="Y98" i="6"/>
  <c r="T22" i="6"/>
  <c r="T88" i="6"/>
  <c r="G3" i="6"/>
  <c r="J7" i="6"/>
  <c r="L11" i="6"/>
  <c r="G15" i="6"/>
  <c r="L19" i="6"/>
  <c r="G23" i="6"/>
  <c r="N26" i="6"/>
  <c r="L30" i="6"/>
  <c r="P33" i="6"/>
  <c r="L37" i="6"/>
  <c r="L40" i="6"/>
  <c r="I43" i="6"/>
  <c r="I46" i="6"/>
  <c r="H49" i="6"/>
  <c r="M51" i="6"/>
  <c r="J54" i="6"/>
  <c r="P56" i="6"/>
  <c r="G60" i="6"/>
  <c r="K62" i="6"/>
  <c r="H65" i="6"/>
  <c r="L67" i="6"/>
  <c r="I70" i="6"/>
  <c r="O72" i="6"/>
  <c r="K75" i="6"/>
  <c r="N77" i="6"/>
  <c r="J80" i="6"/>
  <c r="N82" i="6"/>
  <c r="H85" i="6"/>
  <c r="L87" i="6"/>
  <c r="M94" i="6"/>
  <c r="P96" i="6"/>
  <c r="Y42" i="6"/>
  <c r="Y110" i="6"/>
  <c r="T37" i="6"/>
  <c r="T95" i="6"/>
  <c r="N3" i="6"/>
  <c r="P7" i="6"/>
  <c r="P11" i="6"/>
  <c r="I16" i="6"/>
  <c r="P19" i="6"/>
  <c r="M23" i="6"/>
  <c r="J27" i="6"/>
  <c r="K31" i="6"/>
  <c r="L34" i="6"/>
  <c r="P37" i="6"/>
  <c r="O40" i="6"/>
  <c r="G44" i="6"/>
  <c r="N46" i="6"/>
  <c r="L49" i="6"/>
  <c r="P51" i="6"/>
  <c r="O54" i="6"/>
  <c r="N57" i="6"/>
  <c r="J60" i="6"/>
  <c r="P62" i="6"/>
  <c r="K65" i="6"/>
  <c r="G68" i="6"/>
  <c r="O70" i="6"/>
  <c r="H73" i="6"/>
  <c r="N75" i="6"/>
  <c r="I78" i="6"/>
  <c r="P80" i="6"/>
  <c r="H83" i="6"/>
  <c r="M85" i="6"/>
  <c r="O87" i="6"/>
  <c r="I90" i="6"/>
  <c r="M92" i="6"/>
  <c r="G95" i="6"/>
  <c r="L97" i="6"/>
  <c r="O99" i="6"/>
  <c r="G102" i="6"/>
  <c r="I104" i="6"/>
  <c r="J106" i="6"/>
  <c r="J108" i="6"/>
  <c r="M110" i="6"/>
  <c r="N112" i="6"/>
  <c r="N114" i="6"/>
  <c r="N116" i="6"/>
  <c r="O118" i="6"/>
  <c r="P120" i="6"/>
  <c r="P122" i="6"/>
  <c r="H125" i="6"/>
  <c r="H127" i="6"/>
  <c r="G129" i="6"/>
  <c r="B10" i="6"/>
  <c r="C15" i="10" s="1"/>
  <c r="C19" i="6"/>
  <c r="D24" i="10" s="1"/>
  <c r="B29" i="6"/>
  <c r="C34" i="10" s="1"/>
  <c r="C38" i="6"/>
  <c r="B48" i="6"/>
  <c r="C53" i="10" s="1"/>
  <c r="C58" i="6"/>
  <c r="D63" i="10" s="1"/>
  <c r="C68" i="6"/>
  <c r="D73" i="10" s="1"/>
  <c r="B78" i="6"/>
  <c r="C87" i="6"/>
  <c r="D92" i="10" s="1"/>
  <c r="C97" i="6"/>
  <c r="D102" i="10" s="1"/>
  <c r="B107" i="6"/>
  <c r="C116" i="6"/>
  <c r="D121" i="10" s="1"/>
  <c r="C126" i="6"/>
  <c r="D131" i="10" s="1"/>
  <c r="Y49" i="6"/>
  <c r="Y112" i="6"/>
  <c r="T38" i="6"/>
  <c r="T100" i="6"/>
  <c r="O3" i="6"/>
  <c r="G8" i="6"/>
  <c r="J12" i="6"/>
  <c r="K16" i="6"/>
  <c r="G20" i="6"/>
  <c r="O23" i="6"/>
  <c r="L27" i="6"/>
  <c r="M31" i="6"/>
  <c r="H35" i="6"/>
  <c r="J38" i="6"/>
  <c r="P40" i="6"/>
  <c r="H44" i="6"/>
  <c r="P46" i="6"/>
  <c r="M49" i="6"/>
  <c r="G52" i="6"/>
  <c r="H55" i="6"/>
  <c r="P57" i="6"/>
  <c r="K60" i="6"/>
  <c r="G63" i="6"/>
  <c r="L65" i="6"/>
  <c r="J68" i="6"/>
  <c r="P70" i="6"/>
  <c r="I73" i="6"/>
  <c r="O75" i="6"/>
  <c r="M78" i="6"/>
  <c r="G81" i="6"/>
  <c r="I83" i="6"/>
  <c r="N85" i="6"/>
  <c r="P87" i="6"/>
  <c r="J90" i="6"/>
  <c r="O92" i="6"/>
  <c r="H95" i="6"/>
  <c r="M97" i="6"/>
  <c r="G100" i="6"/>
  <c r="H102" i="6"/>
  <c r="K104" i="6"/>
  <c r="K106" i="6"/>
  <c r="L108" i="6"/>
  <c r="N110" i="6"/>
  <c r="O112" i="6"/>
  <c r="O114" i="6"/>
  <c r="O116" i="6"/>
  <c r="P118" i="6"/>
  <c r="G121" i="6"/>
  <c r="H123" i="6"/>
  <c r="I125" i="6"/>
  <c r="I127" i="6"/>
  <c r="H129" i="6"/>
  <c r="C10" i="6"/>
  <c r="D15" i="10" s="1"/>
  <c r="B20" i="6"/>
  <c r="C25" i="10" s="1"/>
  <c r="C29" i="6"/>
  <c r="D34" i="10" s="1"/>
  <c r="B39" i="6"/>
  <c r="C44" i="10" s="1"/>
  <c r="C49" i="6"/>
  <c r="D54" i="10" s="1"/>
  <c r="B59" i="6"/>
  <c r="C64" i="10" s="1"/>
  <c r="B69" i="6"/>
  <c r="C74" i="10" s="1"/>
  <c r="C78" i="6"/>
  <c r="B88" i="6"/>
  <c r="C93" i="10" s="1"/>
  <c r="B98" i="6"/>
  <c r="C103" i="10" s="1"/>
  <c r="C107" i="6"/>
  <c r="C117" i="6"/>
  <c r="B127" i="6"/>
  <c r="C132" i="10" s="1"/>
  <c r="Y54" i="6"/>
  <c r="Y118" i="6"/>
  <c r="T40" i="6"/>
  <c r="T101" i="6"/>
  <c r="P3" i="6"/>
  <c r="I8" i="6"/>
  <c r="M12" i="6"/>
  <c r="N16" i="6"/>
  <c r="H20" i="6"/>
  <c r="P23" i="6"/>
  <c r="H28" i="6"/>
  <c r="O31" i="6"/>
  <c r="J35" i="6"/>
  <c r="K38" i="6"/>
  <c r="G41" i="6"/>
  <c r="K44" i="6"/>
  <c r="H47" i="6"/>
  <c r="N49" i="6"/>
  <c r="H52" i="6"/>
  <c r="I55" i="6"/>
  <c r="H58" i="6"/>
  <c r="M60" i="6"/>
  <c r="I63" i="6"/>
  <c r="P65" i="6"/>
  <c r="L68" i="6"/>
  <c r="G71" i="6"/>
  <c r="K73" i="6"/>
  <c r="P75" i="6"/>
  <c r="P78" i="6"/>
  <c r="H81" i="6"/>
  <c r="K83" i="6"/>
  <c r="O85" i="6"/>
  <c r="G88" i="6"/>
  <c r="L90" i="6"/>
  <c r="G93" i="6"/>
  <c r="J95" i="6"/>
  <c r="O97" i="6"/>
  <c r="H100" i="6"/>
  <c r="I102" i="6"/>
  <c r="L104" i="6"/>
  <c r="L106" i="6"/>
  <c r="M108" i="6"/>
  <c r="P110" i="6"/>
  <c r="P112" i="6"/>
  <c r="P114" i="6"/>
  <c r="G117" i="6"/>
  <c r="H119" i="6"/>
  <c r="H121" i="6"/>
  <c r="I123" i="6"/>
  <c r="K125" i="6"/>
  <c r="J127" i="6"/>
  <c r="I129" i="6"/>
  <c r="B11" i="6"/>
  <c r="C16" i="10" s="1"/>
  <c r="C20" i="6"/>
  <c r="B30" i="6"/>
  <c r="C35" i="10" s="1"/>
  <c r="C39" i="6"/>
  <c r="D44" i="10" s="1"/>
  <c r="B50" i="6"/>
  <c r="C55" i="10" s="1"/>
  <c r="B60" i="6"/>
  <c r="C65" i="10" s="1"/>
  <c r="C69" i="6"/>
  <c r="D74" i="10" s="1"/>
  <c r="B79" i="6"/>
  <c r="C84" i="10" s="1"/>
  <c r="B89" i="6"/>
  <c r="C94" i="10" s="1"/>
  <c r="C98" i="6"/>
  <c r="D103" i="10" s="1"/>
  <c r="B108" i="6"/>
  <c r="C113" i="10" s="1"/>
  <c r="B118" i="6"/>
  <c r="C123" i="10" s="1"/>
  <c r="B128" i="6"/>
  <c r="C133" i="10" s="1"/>
  <c r="Y55" i="6"/>
  <c r="Y120" i="6"/>
  <c r="T44" i="6"/>
  <c r="T104" i="6"/>
  <c r="I4" i="6"/>
  <c r="J8" i="6"/>
  <c r="G13" i="6"/>
  <c r="P16" i="6"/>
  <c r="I20" i="6"/>
  <c r="H24" i="6"/>
  <c r="M28" i="6"/>
  <c r="P31" i="6"/>
  <c r="K35" i="6"/>
  <c r="L38" i="6"/>
  <c r="N41" i="6"/>
  <c r="M44" i="6"/>
  <c r="J47" i="6"/>
  <c r="O49" i="6"/>
  <c r="K52" i="6"/>
  <c r="K55" i="6"/>
  <c r="I58" i="6"/>
  <c r="N60" i="6"/>
  <c r="K63" i="6"/>
  <c r="G66" i="6"/>
  <c r="M68" i="6"/>
  <c r="H71" i="6"/>
  <c r="M73" i="6"/>
  <c r="I76" i="6"/>
  <c r="G79" i="6"/>
  <c r="I81" i="6"/>
  <c r="B115" i="6"/>
  <c r="C120" i="10" s="1"/>
  <c r="B101" i="6"/>
  <c r="C106" i="10" s="1"/>
  <c r="C86" i="6"/>
  <c r="D91" i="10" s="1"/>
  <c r="B72" i="6"/>
  <c r="C77" i="10" s="1"/>
  <c r="B58" i="6"/>
  <c r="C63" i="10" s="1"/>
  <c r="B44" i="6"/>
  <c r="C49" i="10" s="1"/>
  <c r="C30" i="6"/>
  <c r="B14" i="6"/>
  <c r="C19" i="10" s="1"/>
  <c r="L127" i="6"/>
  <c r="G124" i="6"/>
  <c r="O120" i="6"/>
  <c r="L117" i="6"/>
  <c r="J114" i="6"/>
  <c r="H111" i="6"/>
  <c r="L107" i="6"/>
  <c r="G104" i="6"/>
  <c r="L100" i="6"/>
  <c r="K96" i="6"/>
  <c r="L92" i="6"/>
  <c r="O88" i="6"/>
  <c r="I84" i="6"/>
  <c r="M79" i="6"/>
  <c r="N74" i="6"/>
  <c r="K69" i="6"/>
  <c r="K64" i="6"/>
  <c r="G59" i="6"/>
  <c r="M53" i="6"/>
  <c r="G48" i="6"/>
  <c r="M42" i="6"/>
  <c r="M36" i="6"/>
  <c r="M29" i="6"/>
  <c r="P21" i="6"/>
  <c r="K14" i="6"/>
  <c r="N6" i="6"/>
  <c r="T67" i="6"/>
  <c r="Y80" i="6"/>
  <c r="C129" i="6"/>
  <c r="D134" i="10" s="1"/>
  <c r="C113" i="6"/>
  <c r="D118" i="10" s="1"/>
  <c r="C100" i="6"/>
  <c r="B86" i="6"/>
  <c r="C91" i="10" s="1"/>
  <c r="C71" i="6"/>
  <c r="D76" i="10" s="1"/>
  <c r="B57" i="6"/>
  <c r="C62" i="10" s="1"/>
  <c r="C43" i="6"/>
  <c r="D48" i="10" s="1"/>
  <c r="C28" i="6"/>
  <c r="D33" i="10" s="1"/>
  <c r="C13" i="6"/>
  <c r="D18" i="10" s="1"/>
  <c r="K127" i="6"/>
  <c r="P123" i="6"/>
  <c r="M120" i="6"/>
  <c r="K117" i="6"/>
  <c r="M113" i="6"/>
  <c r="G111" i="6"/>
  <c r="K107" i="6"/>
  <c r="P103" i="6"/>
  <c r="K100" i="6"/>
  <c r="J96" i="6"/>
  <c r="K92" i="6"/>
  <c r="M88" i="6"/>
  <c r="H84" i="6"/>
  <c r="L79" i="6"/>
  <c r="M74" i="6"/>
  <c r="J69" i="6"/>
  <c r="J64" i="6"/>
  <c r="O58" i="6"/>
  <c r="L53" i="6"/>
  <c r="P47" i="6"/>
  <c r="L42" i="6"/>
  <c r="G36" i="6"/>
  <c r="K29" i="6"/>
  <c r="O21" i="6"/>
  <c r="J14" i="6"/>
  <c r="N5" i="6"/>
  <c r="T61" i="6"/>
  <c r="Y76" i="6"/>
  <c r="C73" i="6"/>
  <c r="D78" i="10" s="1"/>
  <c r="B18" i="6"/>
  <c r="C23" i="10" s="1"/>
  <c r="O117" i="6"/>
  <c r="N104" i="6"/>
  <c r="I85" i="6"/>
  <c r="J65" i="6"/>
  <c r="J31" i="6"/>
  <c r="T93" i="6"/>
  <c r="C101" i="6"/>
  <c r="C44" i="6"/>
  <c r="D49" i="10" s="1"/>
  <c r="B113" i="6"/>
  <c r="C118" i="10" s="1"/>
  <c r="B56" i="6"/>
  <c r="C61" i="10" s="1"/>
  <c r="P126" i="6"/>
  <c r="L113" i="6"/>
  <c r="J100" i="6"/>
  <c r="K88" i="6"/>
  <c r="I69" i="6"/>
  <c r="K53" i="6"/>
  <c r="J29" i="6"/>
  <c r="O13" i="6"/>
  <c r="T60" i="6"/>
  <c r="B99" i="6"/>
  <c r="C104" i="10" s="1"/>
  <c r="C54" i="6"/>
  <c r="D59" i="10" s="1"/>
  <c r="O129" i="6"/>
  <c r="H117" i="6"/>
  <c r="P106" i="6"/>
  <c r="P95" i="6"/>
  <c r="I74" i="6"/>
  <c r="J42" i="6"/>
  <c r="B12" i="6"/>
  <c r="C17" i="10" s="1"/>
  <c r="M129" i="6"/>
  <c r="N126" i="6"/>
  <c r="M123" i="6"/>
  <c r="P119" i="6"/>
  <c r="M116" i="6"/>
  <c r="J113" i="6"/>
  <c r="G110" i="6"/>
  <c r="O106" i="6"/>
  <c r="H103" i="6"/>
  <c r="N99" i="6"/>
  <c r="O95" i="6"/>
  <c r="L91" i="6"/>
  <c r="N87" i="6"/>
  <c r="N83" i="6"/>
  <c r="I79" i="6"/>
  <c r="P73" i="6"/>
  <c r="G69" i="6"/>
  <c r="O63" i="6"/>
  <c r="K58" i="6"/>
  <c r="H53" i="6"/>
  <c r="L47" i="6"/>
  <c r="I42" i="6"/>
  <c r="M35" i="6"/>
  <c r="G29" i="6"/>
  <c r="O20" i="6"/>
  <c r="K13" i="6"/>
  <c r="O4" i="6"/>
  <c r="T54" i="6"/>
  <c r="Y63" i="6"/>
  <c r="K121" i="6"/>
  <c r="G108" i="6"/>
  <c r="J93" i="6"/>
  <c r="N80" i="6"/>
  <c r="M54" i="6"/>
  <c r="O37" i="6"/>
  <c r="K23" i="6"/>
  <c r="M15" i="6"/>
  <c r="B87" i="6"/>
  <c r="C92" i="10" s="1"/>
  <c r="B31" i="6"/>
  <c r="C36" i="10" s="1"/>
  <c r="B84" i="6"/>
  <c r="C89" i="10" s="1"/>
  <c r="B13" i="6"/>
  <c r="C18" i="10" s="1"/>
  <c r="P129" i="6"/>
  <c r="I117" i="6"/>
  <c r="O103" i="6"/>
  <c r="G84" i="6"/>
  <c r="I64" i="6"/>
  <c r="K42" i="6"/>
  <c r="C83" i="6"/>
  <c r="C12" i="6"/>
  <c r="D17" i="10" s="1"/>
  <c r="G120" i="6"/>
  <c r="I103" i="6"/>
  <c r="P83" i="6"/>
  <c r="J53" i="6"/>
  <c r="H21" i="6"/>
  <c r="B125" i="6"/>
  <c r="C130" i="10" s="1"/>
  <c r="C82" i="6"/>
  <c r="D87" i="10" s="1"/>
  <c r="L129" i="6"/>
  <c r="H126" i="6"/>
  <c r="N119" i="6"/>
  <c r="L116" i="6"/>
  <c r="I113" i="6"/>
  <c r="M109" i="6"/>
  <c r="N106" i="6"/>
  <c r="G103" i="6"/>
  <c r="M99" i="6"/>
  <c r="M95" i="6"/>
  <c r="K91" i="6"/>
  <c r="M87" i="6"/>
  <c r="L83" i="6"/>
  <c r="H79" i="6"/>
  <c r="O73" i="6"/>
  <c r="O68" i="6"/>
  <c r="L63" i="6"/>
  <c r="J58" i="6"/>
  <c r="G53" i="6"/>
  <c r="K47" i="6"/>
  <c r="O41" i="6"/>
  <c r="L35" i="6"/>
  <c r="O28" i="6"/>
  <c r="N20" i="6"/>
  <c r="H13" i="6"/>
  <c r="N4" i="6"/>
  <c r="T46" i="6"/>
  <c r="Y62" i="6"/>
  <c r="M124" i="6"/>
  <c r="J111" i="6"/>
  <c r="I89" i="6"/>
  <c r="M70" i="6"/>
  <c r="K49" i="6"/>
  <c r="Y108" i="6"/>
  <c r="C115" i="6"/>
  <c r="D120" i="10" s="1"/>
  <c r="C60" i="6"/>
  <c r="B129" i="6"/>
  <c r="C134" i="10" s="1"/>
  <c r="B71" i="6"/>
  <c r="C76" i="10" s="1"/>
  <c r="B28" i="6"/>
  <c r="C33" i="10" s="1"/>
  <c r="L120" i="6"/>
  <c r="I107" i="6"/>
  <c r="I92" i="6"/>
  <c r="K79" i="6"/>
  <c r="M58" i="6"/>
  <c r="O47" i="6"/>
  <c r="K21" i="6"/>
  <c r="M5" i="6"/>
  <c r="B126" i="6"/>
  <c r="C131" i="10" s="1"/>
  <c r="B42" i="6"/>
  <c r="C47" i="10" s="1"/>
  <c r="O126" i="6"/>
  <c r="K113" i="6"/>
  <c r="M91" i="6"/>
  <c r="J79" i="6"/>
  <c r="P63" i="6"/>
  <c r="M47" i="6"/>
  <c r="I29" i="6"/>
  <c r="I5" i="6"/>
  <c r="Y70" i="6"/>
  <c r="B97" i="6"/>
  <c r="C102" i="10" s="1"/>
  <c r="B24" i="6"/>
  <c r="C29" i="10" s="1"/>
  <c r="K116" i="6"/>
  <c r="N62" i="6"/>
  <c r="I27" i="6"/>
  <c r="O11" i="6"/>
  <c r="L3" i="6"/>
  <c r="T32" i="6"/>
  <c r="Y40" i="6"/>
  <c r="N127" i="6"/>
  <c r="M114" i="6"/>
  <c r="H97" i="6"/>
  <c r="M75" i="6"/>
  <c r="I60" i="6"/>
  <c r="M43" i="6"/>
  <c r="O7" i="6"/>
  <c r="B15" i="6"/>
  <c r="C20" i="10" s="1"/>
  <c r="C99" i="6"/>
  <c r="D104" i="10" s="1"/>
  <c r="B43" i="6"/>
  <c r="C48" i="10" s="1"/>
  <c r="O123" i="6"/>
  <c r="J110" i="6"/>
  <c r="I96" i="6"/>
  <c r="J74" i="6"/>
  <c r="O35" i="6"/>
  <c r="Y75" i="6"/>
  <c r="B112" i="6"/>
  <c r="C117" i="10" s="1"/>
  <c r="C70" i="6"/>
  <c r="D75" i="10" s="1"/>
  <c r="C27" i="6"/>
  <c r="D32" i="10" s="1"/>
  <c r="N123" i="6"/>
  <c r="H110" i="6"/>
  <c r="I100" i="6"/>
  <c r="J88" i="6"/>
  <c r="H69" i="6"/>
  <c r="L58" i="6"/>
  <c r="N35" i="6"/>
  <c r="L13" i="6"/>
  <c r="T57" i="6"/>
  <c r="C111" i="6"/>
  <c r="D116" i="10" s="1"/>
  <c r="B70" i="6"/>
  <c r="C75" i="10" s="1"/>
  <c r="B54" i="6"/>
  <c r="C59" i="10" s="1"/>
  <c r="C41" i="6"/>
  <c r="D46" i="10" s="1"/>
  <c r="B26" i="6"/>
  <c r="C31" i="10" s="1"/>
  <c r="C124" i="6"/>
  <c r="D129" i="10" s="1"/>
  <c r="B111" i="6"/>
  <c r="C116" i="10" s="1"/>
  <c r="B96" i="6"/>
  <c r="C101" i="10" s="1"/>
  <c r="B82" i="6"/>
  <c r="C87" i="10" s="1"/>
  <c r="C67" i="6"/>
  <c r="D72" i="10" s="1"/>
  <c r="C53" i="6"/>
  <c r="D58" i="10" s="1"/>
  <c r="B41" i="6"/>
  <c r="C46" i="10" s="1"/>
  <c r="B25" i="6"/>
  <c r="C30" i="10" s="1"/>
  <c r="C11" i="6"/>
  <c r="K123" i="6"/>
  <c r="B123" i="6"/>
  <c r="B110" i="6"/>
  <c r="C95" i="6"/>
  <c r="C81" i="6"/>
  <c r="B67" i="6"/>
  <c r="C72" i="10" s="1"/>
  <c r="B53" i="6"/>
  <c r="C58" i="10" s="1"/>
  <c r="B38" i="6"/>
  <c r="C9" i="6"/>
  <c r="D14" i="10" s="1"/>
  <c r="K129" i="6"/>
  <c r="G126" i="6"/>
  <c r="O122" i="6"/>
  <c r="M119" i="6"/>
  <c r="H113" i="6"/>
  <c r="L109" i="6"/>
  <c r="I106" i="6"/>
  <c r="O102" i="6"/>
  <c r="K99" i="6"/>
  <c r="K95" i="6"/>
  <c r="I91" i="6"/>
  <c r="O86" i="6"/>
  <c r="G83" i="6"/>
  <c r="P77" i="6"/>
  <c r="G73" i="6"/>
  <c r="P67" i="6"/>
  <c r="K57" i="6"/>
  <c r="O51" i="6"/>
  <c r="M46" i="6"/>
  <c r="N40" i="6"/>
  <c r="K34" i="6"/>
  <c r="O19" i="6"/>
  <c r="C122" i="6"/>
  <c r="C109" i="6"/>
  <c r="B94" i="6"/>
  <c r="B81" i="6"/>
  <c r="C86" i="10" s="1"/>
  <c r="C66" i="6"/>
  <c r="C52" i="6"/>
  <c r="C37" i="6"/>
  <c r="D42" i="10" s="1"/>
  <c r="C23" i="6"/>
  <c r="B9" i="6"/>
  <c r="C14" i="10" s="1"/>
  <c r="J129" i="6"/>
  <c r="P125" i="6"/>
  <c r="N122" i="6"/>
  <c r="L119" i="6"/>
  <c r="P115" i="6"/>
  <c r="G113" i="6"/>
  <c r="K109" i="6"/>
  <c r="H106" i="6"/>
  <c r="N102" i="6"/>
  <c r="M98" i="6"/>
  <c r="P94" i="6"/>
  <c r="G91" i="6"/>
  <c r="N86" i="6"/>
  <c r="P82" i="6"/>
  <c r="O77" i="6"/>
  <c r="P72" i="6"/>
  <c r="M67" i="6"/>
  <c r="M62" i="6"/>
  <c r="I57" i="6"/>
  <c r="N51" i="6"/>
  <c r="K46" i="6"/>
  <c r="M40" i="6"/>
  <c r="J34" i="6"/>
  <c r="O26" i="6"/>
  <c r="N19" i="6"/>
  <c r="N11" i="6"/>
  <c r="I3" i="6"/>
  <c r="T28" i="6"/>
  <c r="Y39" i="6"/>
  <c r="B2" i="6"/>
  <c r="C7" i="10" s="1"/>
  <c r="C2" i="6"/>
  <c r="Q128" i="6" l="1" a="1"/>
  <c r="Q128" i="6" s="1"/>
  <c r="Q67" i="6" a="1"/>
  <c r="Q67" i="6" s="1"/>
  <c r="Q82" i="6" a="1"/>
  <c r="Q82" i="6" s="1"/>
  <c r="R26" i="6" a="1"/>
  <c r="R26" i="6" s="1"/>
  <c r="D113" i="6"/>
  <c r="C115" i="10"/>
  <c r="R10" i="6" a="1"/>
  <c r="R10" i="6" s="1"/>
  <c r="E106" i="6"/>
  <c r="D109" i="10"/>
  <c r="E6" i="6"/>
  <c r="D7" i="10"/>
  <c r="E27" i="6"/>
  <c r="D28" i="10"/>
  <c r="E64" i="6"/>
  <c r="D65" i="10"/>
  <c r="E39" i="6"/>
  <c r="D41" i="10"/>
  <c r="F93" i="6"/>
  <c r="D98" i="10"/>
  <c r="E78" i="6"/>
  <c r="D79" i="10"/>
  <c r="R50" i="6" a="1"/>
  <c r="R50" i="6" s="1"/>
  <c r="E67" i="6"/>
  <c r="D69" i="10"/>
  <c r="E105" i="6"/>
  <c r="D106" i="10"/>
  <c r="Q90" i="6" a="1"/>
  <c r="Q90" i="6" s="1"/>
  <c r="Q115" i="6" a="1"/>
  <c r="Q115" i="6" s="1"/>
  <c r="E56" i="6"/>
  <c r="D57" i="10"/>
  <c r="E85" i="6"/>
  <c r="D86" i="10"/>
  <c r="Q125" i="6" a="1"/>
  <c r="Q125" i="6" s="1"/>
  <c r="Q51" i="6" a="1"/>
  <c r="Q51" i="6" s="1"/>
  <c r="E61" i="6"/>
  <c r="D62" i="10"/>
  <c r="E51" i="6"/>
  <c r="D53" i="10"/>
  <c r="Q10" i="6" a="1"/>
  <c r="Q10" i="6" s="1"/>
  <c r="E70" i="6"/>
  <c r="D71" i="10"/>
  <c r="E99" i="6"/>
  <c r="D100" i="10"/>
  <c r="E121" i="6"/>
  <c r="D122" i="10"/>
  <c r="E10" i="6"/>
  <c r="D11" i="10"/>
  <c r="Q86" i="6" a="1"/>
  <c r="Q86" i="6" s="1"/>
  <c r="E110" i="6"/>
  <c r="D112" i="10"/>
  <c r="D126" i="6"/>
  <c r="C128" i="10"/>
  <c r="D25" i="6"/>
  <c r="C28" i="10"/>
  <c r="E123" i="6"/>
  <c r="D127" i="10"/>
  <c r="E15" i="6"/>
  <c r="D16" i="10"/>
  <c r="E81" i="6"/>
  <c r="D83" i="10"/>
  <c r="D37" i="6"/>
  <c r="C39" i="10"/>
  <c r="Q26" i="6" a="1"/>
  <c r="Q26" i="6" s="1"/>
  <c r="D81" i="6"/>
  <c r="C83" i="10"/>
  <c r="Q105" i="6" a="1"/>
  <c r="Q105" i="6" s="1"/>
  <c r="D9" i="6"/>
  <c r="C11" i="10"/>
  <c r="R128" i="6" a="1"/>
  <c r="R128" i="6" s="1"/>
  <c r="R105" i="6" a="1"/>
  <c r="R105" i="6" s="1"/>
  <c r="S105" i="6" s="1"/>
  <c r="F120" i="6"/>
  <c r="Q61" i="6" a="1"/>
  <c r="Q61" i="6" s="1"/>
  <c r="D96" i="6"/>
  <c r="C99" i="10"/>
  <c r="D110" i="6"/>
  <c r="C112" i="10"/>
  <c r="F109" i="6"/>
  <c r="D114" i="10"/>
  <c r="R106" i="6" a="1"/>
  <c r="R106" i="6" s="1"/>
  <c r="E87" i="6"/>
  <c r="D88" i="10"/>
  <c r="E104" i="6"/>
  <c r="D105" i="10"/>
  <c r="E34" i="6"/>
  <c r="D35" i="10"/>
  <c r="E24" i="6"/>
  <c r="D25" i="10"/>
  <c r="E42" i="6"/>
  <c r="D43" i="10"/>
  <c r="D78" i="6"/>
  <c r="C80" i="10"/>
  <c r="Q122" i="6" a="1"/>
  <c r="Q122" i="6" s="1"/>
  <c r="E112" i="6"/>
  <c r="D113" i="10"/>
  <c r="R32" i="6" a="1"/>
  <c r="R32" i="6" s="1"/>
  <c r="E92" i="6"/>
  <c r="D93" i="10"/>
  <c r="Q40" i="6" a="1"/>
  <c r="Q40" i="6" s="1"/>
  <c r="E94" i="6"/>
  <c r="D96" i="10"/>
  <c r="Q17" i="6" a="1"/>
  <c r="Q17" i="6" s="1"/>
  <c r="D41" i="6"/>
  <c r="C43" i="10"/>
  <c r="S128" i="6"/>
  <c r="R86" i="6" a="1"/>
  <c r="R86" i="6" s="1"/>
  <c r="D95" i="6"/>
  <c r="E55" i="6"/>
  <c r="E77" i="6"/>
  <c r="D61" i="6"/>
  <c r="F57" i="6"/>
  <c r="R59" i="6" a="1"/>
  <c r="R59" i="6" s="1"/>
  <c r="Q59" i="6" a="1"/>
  <c r="Q59" i="6" s="1"/>
  <c r="Q124" i="6" a="1"/>
  <c r="Q124" i="6" s="1"/>
  <c r="R124" i="6" a="1"/>
  <c r="R124" i="6" s="1"/>
  <c r="S124" i="6" s="1"/>
  <c r="R66" i="6" a="1"/>
  <c r="R66" i="6" s="1"/>
  <c r="Q66" i="6" a="1"/>
  <c r="Q66" i="6" s="1"/>
  <c r="F50" i="6"/>
  <c r="D54" i="6"/>
  <c r="D63" i="6"/>
  <c r="F59" i="6"/>
  <c r="E72" i="6"/>
  <c r="E59" i="6"/>
  <c r="R49" i="6" a="1"/>
  <c r="R49" i="6" s="1"/>
  <c r="Q49" i="6" a="1"/>
  <c r="Q49" i="6" s="1"/>
  <c r="D108" i="6"/>
  <c r="F104" i="6"/>
  <c r="F17" i="6"/>
  <c r="D21" i="6"/>
  <c r="Q34" i="6" a="1"/>
  <c r="Q34" i="6" s="1"/>
  <c r="R34" i="6" a="1"/>
  <c r="R34" i="6" s="1"/>
  <c r="S34" i="6" s="1"/>
  <c r="R39" i="6" a="1"/>
  <c r="R39" i="6" s="1"/>
  <c r="Q39" i="6" a="1"/>
  <c r="Q39" i="6" s="1"/>
  <c r="E57" i="6"/>
  <c r="Q120" i="6" a="1"/>
  <c r="Q120" i="6" s="1"/>
  <c r="R120" i="6" a="1"/>
  <c r="R120" i="6" s="1"/>
  <c r="S120" i="6" s="1"/>
  <c r="E75" i="6"/>
  <c r="Q13" i="6" a="1"/>
  <c r="Q13" i="6" s="1"/>
  <c r="R13" i="6" a="1"/>
  <c r="R13" i="6" s="1"/>
  <c r="E43" i="6"/>
  <c r="E53" i="6"/>
  <c r="R20" i="6" a="1"/>
  <c r="R20" i="6" s="1"/>
  <c r="Q20" i="6" a="1"/>
  <c r="Q20" i="6" s="1"/>
  <c r="E62" i="6"/>
  <c r="F27" i="6"/>
  <c r="D31" i="6"/>
  <c r="D128" i="6"/>
  <c r="F124" i="6"/>
  <c r="E98" i="6"/>
  <c r="R37" i="6" a="1"/>
  <c r="R37" i="6" s="1"/>
  <c r="Q37" i="6" a="1"/>
  <c r="Q37" i="6" s="1"/>
  <c r="D12" i="6"/>
  <c r="F8" i="6"/>
  <c r="R72" i="6" a="1"/>
  <c r="R72" i="6" s="1"/>
  <c r="Q72" i="6" a="1"/>
  <c r="Q72" i="6" s="1"/>
  <c r="E129" i="6"/>
  <c r="Q22" i="6" a="1"/>
  <c r="Q22" i="6" s="1"/>
  <c r="R22" i="6" a="1"/>
  <c r="R22" i="6" s="1"/>
  <c r="S22" i="6" s="1"/>
  <c r="E116" i="6"/>
  <c r="Q21" i="6" a="1"/>
  <c r="Q21" i="6" s="1"/>
  <c r="R21" i="6" a="1"/>
  <c r="R21" i="6" s="1"/>
  <c r="Q24" i="6" a="1"/>
  <c r="Q24" i="6" s="1"/>
  <c r="R24" i="6" a="1"/>
  <c r="R24" i="6" s="1"/>
  <c r="S24" i="6" s="1"/>
  <c r="E71" i="6"/>
  <c r="E16" i="6"/>
  <c r="R69" i="6" a="1"/>
  <c r="R69" i="6" s="1"/>
  <c r="Q69" i="6" a="1"/>
  <c r="Q69" i="6" s="1"/>
  <c r="F86" i="6"/>
  <c r="D90" i="6"/>
  <c r="F14" i="6"/>
  <c r="D18" i="6"/>
  <c r="D34" i="6"/>
  <c r="F30" i="6"/>
  <c r="F39" i="6"/>
  <c r="D43" i="6"/>
  <c r="F48" i="6"/>
  <c r="D52" i="6"/>
  <c r="Q68" i="6" a="1"/>
  <c r="Q68" i="6" s="1"/>
  <c r="R68" i="6" a="1"/>
  <c r="R68" i="6" s="1"/>
  <c r="R43" i="6" a="1"/>
  <c r="R43" i="6" s="1"/>
  <c r="Q43" i="6" a="1"/>
  <c r="Q43" i="6" s="1"/>
  <c r="E118" i="6"/>
  <c r="E88" i="6"/>
  <c r="F117" i="6"/>
  <c r="D121" i="6"/>
  <c r="Q87" i="6" a="1"/>
  <c r="Q87" i="6" s="1"/>
  <c r="R87" i="6" a="1"/>
  <c r="R87" i="6" s="1"/>
  <c r="Q28" i="6" a="1"/>
  <c r="Q28" i="6" s="1"/>
  <c r="R28" i="6" a="1"/>
  <c r="R28" i="6" s="1"/>
  <c r="S28" i="6" s="1"/>
  <c r="E108" i="6"/>
  <c r="Q32" i="6" a="1"/>
  <c r="Q32" i="6" s="1"/>
  <c r="D124" i="6"/>
  <c r="D7" i="6"/>
  <c r="E125" i="6"/>
  <c r="R40" i="6" a="1"/>
  <c r="R40" i="6" s="1"/>
  <c r="S40" i="6" s="1"/>
  <c r="D120" i="6"/>
  <c r="D125" i="6"/>
  <c r="D80" i="6"/>
  <c r="E26" i="6"/>
  <c r="E13" i="6"/>
  <c r="F111" i="6"/>
  <c r="D115" i="6"/>
  <c r="E31" i="6"/>
  <c r="D75" i="6"/>
  <c r="F71" i="6"/>
  <c r="F56" i="6"/>
  <c r="D60" i="6"/>
  <c r="D62" i="6"/>
  <c r="F58" i="6"/>
  <c r="E14" i="6"/>
  <c r="E22" i="6"/>
  <c r="E23" i="6"/>
  <c r="E69" i="6"/>
  <c r="F55" i="6"/>
  <c r="D59" i="6"/>
  <c r="E114" i="6"/>
  <c r="E95" i="6"/>
  <c r="R96" i="6" a="1"/>
  <c r="R96" i="6" s="1"/>
  <c r="Q96" i="6" a="1"/>
  <c r="Q96" i="6" s="1"/>
  <c r="R65" i="6" a="1"/>
  <c r="R65" i="6" s="1"/>
  <c r="Q65" i="6" a="1"/>
  <c r="Q65" i="6" s="1"/>
  <c r="E84" i="6"/>
  <c r="E66" i="6"/>
  <c r="E11" i="6"/>
  <c r="E25" i="6"/>
  <c r="D13" i="6"/>
  <c r="F9" i="6"/>
  <c r="R73" i="6" a="1"/>
  <c r="R73" i="6" s="1"/>
  <c r="Q73" i="6" a="1"/>
  <c r="Q73" i="6" s="1"/>
  <c r="F38" i="6"/>
  <c r="D42" i="6"/>
  <c r="E128" i="6"/>
  <c r="E74" i="6"/>
  <c r="F129" i="6"/>
  <c r="Q84" i="6" a="1"/>
  <c r="Q84" i="6" s="1"/>
  <c r="R84" i="6" a="1"/>
  <c r="R84" i="6" s="1"/>
  <c r="S84" i="6" s="1"/>
  <c r="D117" i="6"/>
  <c r="F113" i="6"/>
  <c r="D76" i="6"/>
  <c r="F72" i="6"/>
  <c r="R93" i="6" a="1"/>
  <c r="R93" i="6" s="1"/>
  <c r="Q93" i="6" a="1"/>
  <c r="Q93" i="6" s="1"/>
  <c r="F10" i="6"/>
  <c r="D14" i="6"/>
  <c r="R15" i="6" a="1"/>
  <c r="R15" i="6" s="1"/>
  <c r="Q15" i="6" a="1"/>
  <c r="Q15" i="6" s="1"/>
  <c r="Q30" i="6" a="1"/>
  <c r="Q30" i="6" s="1"/>
  <c r="R30" i="6" a="1"/>
  <c r="R30" i="6" s="1"/>
  <c r="D50" i="6"/>
  <c r="F46" i="6"/>
  <c r="E49" i="6"/>
  <c r="R116" i="6" a="1"/>
  <c r="R116" i="6" s="1"/>
  <c r="Q116" i="6" a="1"/>
  <c r="Q116" i="6" s="1"/>
  <c r="F102" i="6"/>
  <c r="D106" i="6"/>
  <c r="F83" i="6"/>
  <c r="D87" i="6"/>
  <c r="R33" i="6" a="1"/>
  <c r="R33" i="6" s="1"/>
  <c r="Q33" i="6" a="1"/>
  <c r="Q33" i="6" s="1"/>
  <c r="E76" i="6"/>
  <c r="D97" i="6"/>
  <c r="D107" i="6"/>
  <c r="R115" i="6" a="1"/>
  <c r="R115" i="6" s="1"/>
  <c r="Q92" i="6" a="1"/>
  <c r="Q92" i="6" s="1"/>
  <c r="R92" i="6" a="1"/>
  <c r="R92" i="6" s="1"/>
  <c r="E68" i="6"/>
  <c r="Q38" i="6" a="1"/>
  <c r="Q38" i="6" s="1"/>
  <c r="R38" i="6" a="1"/>
  <c r="R38" i="6" s="1"/>
  <c r="S38" i="6" s="1"/>
  <c r="F122" i="6"/>
  <c r="F80" i="6"/>
  <c r="F54" i="6"/>
  <c r="D58" i="6"/>
  <c r="Q3" i="6" a="1"/>
  <c r="Q3" i="6" s="1"/>
  <c r="R3" i="6" a="1"/>
  <c r="R3" i="6" s="1"/>
  <c r="Q70" i="6" a="1"/>
  <c r="Q70" i="6" s="1"/>
  <c r="R70" i="6" a="1"/>
  <c r="R70" i="6" s="1"/>
  <c r="D11" i="6"/>
  <c r="F7" i="6"/>
  <c r="F16" i="6"/>
  <c r="D20" i="6"/>
  <c r="R99" i="6" a="1"/>
  <c r="R99" i="6" s="1"/>
  <c r="Q99" i="6" a="1"/>
  <c r="Q99" i="6" s="1"/>
  <c r="E80" i="6"/>
  <c r="F76" i="6"/>
  <c r="R55" i="6" a="1"/>
  <c r="R55" i="6" s="1"/>
  <c r="Q55" i="6" a="1"/>
  <c r="Q55" i="6" s="1"/>
  <c r="Q112" i="6" a="1"/>
  <c r="Q112" i="6" s="1"/>
  <c r="R112" i="6" a="1"/>
  <c r="R112" i="6" s="1"/>
  <c r="Q80" i="6" a="1"/>
  <c r="Q80" i="6" s="1"/>
  <c r="R80" i="6" a="1"/>
  <c r="R80" i="6" s="1"/>
  <c r="R19" i="6" a="1"/>
  <c r="R19" i="6" s="1"/>
  <c r="Q19" i="6" a="1"/>
  <c r="Q19" i="6" s="1"/>
  <c r="Q58" i="6" a="1"/>
  <c r="Q58" i="6" s="1"/>
  <c r="R58" i="6" a="1"/>
  <c r="R58" i="6" s="1"/>
  <c r="Q75" i="6" a="1"/>
  <c r="Q75" i="6" s="1"/>
  <c r="R75" i="6" a="1"/>
  <c r="R75" i="6" s="1"/>
  <c r="E52" i="6"/>
  <c r="R91" i="6" a="1"/>
  <c r="R91" i="6" s="1"/>
  <c r="Q91" i="6" a="1"/>
  <c r="Q91" i="6" s="1"/>
  <c r="F70" i="6"/>
  <c r="D74" i="6"/>
  <c r="D46" i="6"/>
  <c r="F42" i="6"/>
  <c r="D17" i="6"/>
  <c r="F13" i="6"/>
  <c r="E58" i="6"/>
  <c r="R104" i="6" a="1"/>
  <c r="R104" i="6" s="1"/>
  <c r="Q104" i="6" a="1"/>
  <c r="Q104" i="6" s="1"/>
  <c r="F108" i="6"/>
  <c r="D112" i="6"/>
  <c r="Q41" i="6" a="1"/>
  <c r="Q41" i="6" s="1"/>
  <c r="R41" i="6" a="1"/>
  <c r="R41" i="6" s="1"/>
  <c r="R121" i="6" a="1"/>
  <c r="R121" i="6" s="1"/>
  <c r="Q121" i="6" a="1"/>
  <c r="Q121" i="6" s="1"/>
  <c r="R113" i="6" a="1"/>
  <c r="R113" i="6" s="1"/>
  <c r="Q113" i="6" a="1"/>
  <c r="Q113" i="6" s="1"/>
  <c r="F41" i="6"/>
  <c r="D45" i="6"/>
  <c r="F15" i="6"/>
  <c r="D19" i="6"/>
  <c r="F97" i="6"/>
  <c r="D101" i="6"/>
  <c r="R126" i="6" a="1"/>
  <c r="R126" i="6" s="1"/>
  <c r="Q126" i="6" a="1"/>
  <c r="Q126" i="6" s="1"/>
  <c r="F82" i="6"/>
  <c r="D86" i="6"/>
  <c r="Q103" i="6" a="1"/>
  <c r="Q103" i="6" s="1"/>
  <c r="R103" i="6" a="1"/>
  <c r="R103" i="6" s="1"/>
  <c r="S103" i="6" s="1"/>
  <c r="D16" i="6"/>
  <c r="F12" i="6"/>
  <c r="E33" i="6"/>
  <c r="Q63" i="6" a="1"/>
  <c r="Q63" i="6" s="1"/>
  <c r="R63" i="6" a="1"/>
  <c r="R63" i="6" s="1"/>
  <c r="F95" i="6"/>
  <c r="D99" i="6"/>
  <c r="F75" i="6"/>
  <c r="D79" i="6"/>
  <c r="Q127" i="6" a="1"/>
  <c r="Q127" i="6" s="1"/>
  <c r="R127" i="6" a="1"/>
  <c r="R127" i="6" s="1"/>
  <c r="S127" i="6" s="1"/>
  <c r="Q64" i="6" a="1"/>
  <c r="Q64" i="6" s="1"/>
  <c r="R64" i="6" a="1"/>
  <c r="R64" i="6" s="1"/>
  <c r="R123" i="6" a="1"/>
  <c r="R123" i="6" s="1"/>
  <c r="Q123" i="6" a="1"/>
  <c r="Q123" i="6" s="1"/>
  <c r="E100" i="6"/>
  <c r="D100" i="6"/>
  <c r="F96" i="6"/>
  <c r="D32" i="6"/>
  <c r="F28" i="6"/>
  <c r="Q108" i="6" a="1"/>
  <c r="Q108" i="6" s="1"/>
  <c r="R108" i="6" a="1"/>
  <c r="R108" i="6" s="1"/>
  <c r="S108" i="6" s="1"/>
  <c r="E117" i="6"/>
  <c r="F44" i="6"/>
  <c r="D48" i="6"/>
  <c r="D15" i="6"/>
  <c r="F11" i="6"/>
  <c r="F20" i="6"/>
  <c r="D24" i="6"/>
  <c r="R100" i="6" a="1"/>
  <c r="R100" i="6" s="1"/>
  <c r="Q100" i="6" a="1"/>
  <c r="Q100" i="6" s="1"/>
  <c r="R8" i="6" a="1"/>
  <c r="R8" i="6" s="1"/>
  <c r="Q8" i="6" a="1"/>
  <c r="Q8" i="6" s="1"/>
  <c r="D33" i="6"/>
  <c r="F29" i="6"/>
  <c r="Q102" i="6" a="1"/>
  <c r="Q102" i="6" s="1"/>
  <c r="R102" i="6" a="1"/>
  <c r="R102" i="6" s="1"/>
  <c r="S102" i="6" s="1"/>
  <c r="Q23" i="6" a="1"/>
  <c r="Q23" i="6" s="1"/>
  <c r="R23" i="6" a="1"/>
  <c r="R23" i="6" s="1"/>
  <c r="S23" i="6" s="1"/>
  <c r="Q85" i="6" a="1"/>
  <c r="Q85" i="6" s="1"/>
  <c r="R85" i="6" a="1"/>
  <c r="R85" i="6" s="1"/>
  <c r="E79" i="6"/>
  <c r="F65" i="6"/>
  <c r="D69" i="6"/>
  <c r="D123" i="6"/>
  <c r="F119" i="6"/>
  <c r="R62" i="6" a="1"/>
  <c r="R62" i="6" s="1"/>
  <c r="Q62" i="6" a="1"/>
  <c r="Q62" i="6" s="1"/>
  <c r="F100" i="6"/>
  <c r="D104" i="6"/>
  <c r="R57" i="6" a="1"/>
  <c r="R57" i="6" s="1"/>
  <c r="Q57" i="6" a="1"/>
  <c r="Q57" i="6" s="1"/>
  <c r="Q14" i="6" a="1"/>
  <c r="Q14" i="6" s="1"/>
  <c r="R14" i="6" a="1"/>
  <c r="R14" i="6" s="1"/>
  <c r="Q98" i="6" a="1"/>
  <c r="Q98" i="6" s="1"/>
  <c r="R98" i="6" a="1"/>
  <c r="R98" i="6" s="1"/>
  <c r="Q94" i="6" a="1"/>
  <c r="Q94" i="6" s="1"/>
  <c r="R94" i="6" a="1"/>
  <c r="R94" i="6" s="1"/>
  <c r="Q56" i="6" a="1"/>
  <c r="Q56" i="6" s="1"/>
  <c r="R56" i="6" a="1"/>
  <c r="R56" i="6" s="1"/>
  <c r="F53" i="6"/>
  <c r="D57" i="6"/>
  <c r="D30" i="6"/>
  <c r="F26" i="6"/>
  <c r="F112" i="6"/>
  <c r="D116" i="6"/>
  <c r="E48" i="6"/>
  <c r="R36" i="6" a="1"/>
  <c r="R36" i="6" s="1"/>
  <c r="Q36" i="6" a="1"/>
  <c r="Q36" i="6" s="1"/>
  <c r="Q111" i="6" a="1"/>
  <c r="Q111" i="6" s="1"/>
  <c r="R111" i="6" a="1"/>
  <c r="R111" i="6" s="1"/>
  <c r="E90" i="6"/>
  <c r="R52" i="6" a="1"/>
  <c r="R52" i="6" s="1"/>
  <c r="Q52" i="6" a="1"/>
  <c r="Q52" i="6" s="1"/>
  <c r="R129" i="6" a="1"/>
  <c r="R129" i="6" s="1"/>
  <c r="Q129" i="6" a="1"/>
  <c r="Q129" i="6" s="1"/>
  <c r="Q95" i="6" a="1"/>
  <c r="Q95" i="6" s="1"/>
  <c r="R95" i="6" a="1"/>
  <c r="R95" i="6" s="1"/>
  <c r="E40" i="6"/>
  <c r="D40" i="6"/>
  <c r="F36" i="6"/>
  <c r="E97" i="6"/>
  <c r="X2" i="6" a="1"/>
  <c r="X2" i="6" s="1"/>
  <c r="W10" i="6" s="1"/>
  <c r="V2" i="6"/>
  <c r="J3" i="10" s="1"/>
  <c r="D6" i="6"/>
  <c r="F2" i="6"/>
  <c r="E41" i="6"/>
  <c r="F37" i="6"/>
  <c r="R83" i="6" a="1"/>
  <c r="R83" i="6" s="1"/>
  <c r="Q83" i="6" a="1"/>
  <c r="Q83" i="6" s="1"/>
  <c r="F67" i="6"/>
  <c r="D71" i="6"/>
  <c r="E45" i="6"/>
  <c r="E119" i="6"/>
  <c r="R53" i="6" a="1"/>
  <c r="R53" i="6" s="1"/>
  <c r="Q53" i="6" a="1"/>
  <c r="Q53" i="6" s="1"/>
  <c r="D105" i="6"/>
  <c r="F101" i="6"/>
  <c r="F128" i="6"/>
  <c r="Q88" i="6" a="1"/>
  <c r="Q88" i="6" s="1"/>
  <c r="R88" i="6" a="1"/>
  <c r="R88" i="6" s="1"/>
  <c r="R60" i="6" a="1"/>
  <c r="R60" i="6" s="1"/>
  <c r="Q60" i="6" a="1"/>
  <c r="Q60" i="6" s="1"/>
  <c r="E21" i="6"/>
  <c r="E30" i="6"/>
  <c r="Q11" i="6" a="1"/>
  <c r="Q11" i="6" s="1"/>
  <c r="R11" i="6" a="1"/>
  <c r="R11" i="6" s="1"/>
  <c r="D89" i="6"/>
  <c r="F85" i="6"/>
  <c r="Q118" i="6" a="1"/>
  <c r="Q118" i="6" s="1"/>
  <c r="R118" i="6" a="1"/>
  <c r="R118" i="6" s="1"/>
  <c r="D70" i="6"/>
  <c r="F66" i="6"/>
  <c r="R114" i="6" a="1"/>
  <c r="R114" i="6" s="1"/>
  <c r="Q114" i="6" a="1"/>
  <c r="Q114" i="6" s="1"/>
  <c r="R119" i="6" a="1"/>
  <c r="R119" i="6" s="1"/>
  <c r="Q119" i="6" a="1"/>
  <c r="Q119" i="6" s="1"/>
  <c r="E60" i="6"/>
  <c r="R12" i="6" a="1"/>
  <c r="R12" i="6" s="1"/>
  <c r="Q12" i="6" a="1"/>
  <c r="Q12" i="6" s="1"/>
  <c r="F74" i="6"/>
  <c r="D65" i="6"/>
  <c r="D8" i="6"/>
  <c r="D94" i="6"/>
  <c r="D119" i="6"/>
  <c r="F115" i="6"/>
  <c r="F118" i="6"/>
  <c r="D122" i="6"/>
  <c r="F127" i="6"/>
  <c r="Q7" i="6" a="1"/>
  <c r="Q7" i="6" s="1"/>
  <c r="R7" i="6" a="1"/>
  <c r="R7" i="6" s="1"/>
  <c r="F73" i="6"/>
  <c r="D77" i="6"/>
  <c r="D39" i="6"/>
  <c r="E109" i="6"/>
  <c r="F52" i="6"/>
  <c r="R17" i="6" a="1"/>
  <c r="R17" i="6" s="1"/>
  <c r="S17" i="6" s="1"/>
  <c r="E122" i="6"/>
  <c r="R45" i="6" a="1"/>
  <c r="R45" i="6" s="1"/>
  <c r="S45" i="6" s="1"/>
  <c r="Q45" i="6" a="1"/>
  <c r="Q45" i="6" s="1"/>
  <c r="E44" i="6"/>
  <c r="D49" i="6"/>
  <c r="D56" i="6"/>
  <c r="E93" i="6"/>
  <c r="F32" i="6"/>
  <c r="D36" i="6"/>
  <c r="Q106" i="6" a="1"/>
  <c r="Q106" i="6" s="1"/>
  <c r="E65" i="6"/>
  <c r="E96" i="6"/>
  <c r="F51" i="6"/>
  <c r="D55" i="6"/>
  <c r="E35" i="6"/>
  <c r="Q74" i="6" a="1"/>
  <c r="Q74" i="6" s="1"/>
  <c r="R74" i="6" a="1"/>
  <c r="R74" i="6" s="1"/>
  <c r="E28" i="6"/>
  <c r="Q50" i="6" a="1"/>
  <c r="Q50" i="6" s="1"/>
  <c r="F64" i="6"/>
  <c r="E50" i="6"/>
  <c r="R82" i="6" a="1"/>
  <c r="R82" i="6" s="1"/>
  <c r="S82" i="6" s="1"/>
  <c r="R51" i="6" a="1"/>
  <c r="R51" i="6" s="1"/>
  <c r="R67" i="6" a="1"/>
  <c r="R67" i="6" s="1"/>
  <c r="S67" i="6" s="1"/>
  <c r="E38" i="6"/>
  <c r="Q18" i="6" a="1"/>
  <c r="Q18" i="6" s="1"/>
  <c r="R18" i="6" a="1"/>
  <c r="R18" i="6" s="1"/>
  <c r="S18" i="6" s="1"/>
  <c r="E63" i="6"/>
  <c r="D44" i="6"/>
  <c r="F40" i="6"/>
  <c r="R76" i="6" a="1"/>
  <c r="R76" i="6" s="1"/>
  <c r="Q76" i="6" a="1"/>
  <c r="Q76" i="6" s="1"/>
  <c r="E36" i="6"/>
  <c r="Q6" i="6" a="1"/>
  <c r="Q6" i="6" s="1"/>
  <c r="R6" i="6" a="1"/>
  <c r="R6" i="6" s="1"/>
  <c r="F94" i="6"/>
  <c r="D98" i="6"/>
  <c r="F123" i="6"/>
  <c r="D127" i="6"/>
  <c r="D129" i="6"/>
  <c r="F125" i="6"/>
  <c r="F31" i="6"/>
  <c r="D35" i="6"/>
  <c r="R110" i="6" a="1"/>
  <c r="R110" i="6" s="1"/>
  <c r="Q110" i="6" a="1"/>
  <c r="Q110" i="6" s="1"/>
  <c r="D93" i="6"/>
  <c r="F89" i="6"/>
  <c r="D102" i="6"/>
  <c r="F98" i="6"/>
  <c r="Q81" i="6" a="1"/>
  <c r="Q81" i="6" s="1"/>
  <c r="R81" i="6" a="1"/>
  <c r="R81" i="6" s="1"/>
  <c r="D111" i="6"/>
  <c r="F107" i="6"/>
  <c r="E113" i="6"/>
  <c r="D91" i="6"/>
  <c r="F87" i="6"/>
  <c r="E17" i="6"/>
  <c r="D83" i="6"/>
  <c r="F79" i="6"/>
  <c r="D92" i="6"/>
  <c r="F88" i="6"/>
  <c r="E101" i="6"/>
  <c r="E46" i="6"/>
  <c r="R109" i="6" a="1"/>
  <c r="R109" i="6" s="1"/>
  <c r="Q109" i="6" a="1"/>
  <c r="Q109" i="6" s="1"/>
  <c r="Q46" i="6" a="1"/>
  <c r="Q46" i="6" s="1"/>
  <c r="R46" i="6" a="1"/>
  <c r="R46" i="6" s="1"/>
  <c r="D27" i="6"/>
  <c r="F23" i="6"/>
  <c r="D26" i="6"/>
  <c r="E20" i="6"/>
  <c r="Q27" i="6" a="1"/>
  <c r="Q27" i="6" s="1"/>
  <c r="R27" i="6" a="1"/>
  <c r="R27" i="6" s="1"/>
  <c r="S27" i="6" s="1"/>
  <c r="T2" i="6"/>
  <c r="Y2" i="6"/>
  <c r="P2" i="6"/>
  <c r="L2" i="6"/>
  <c r="N2" i="6"/>
  <c r="M2" i="6"/>
  <c r="K2" i="6"/>
  <c r="G2" i="6"/>
  <c r="O2" i="6"/>
  <c r="J2" i="6"/>
  <c r="I2" i="6"/>
  <c r="H2" i="6"/>
  <c r="R89" i="6" a="1"/>
  <c r="R89" i="6" s="1"/>
  <c r="Q89" i="6" a="1"/>
  <c r="Q89" i="6" s="1"/>
  <c r="R125" i="6" a="1"/>
  <c r="R125" i="6" s="1"/>
  <c r="E37" i="6"/>
  <c r="D68" i="6"/>
  <c r="D66" i="6"/>
  <c r="F45" i="6"/>
  <c r="D72" i="6"/>
  <c r="F68" i="6"/>
  <c r="F49" i="6"/>
  <c r="D53" i="6"/>
  <c r="Q78" i="6" a="1"/>
  <c r="Q78" i="6" s="1"/>
  <c r="R78" i="6" a="1"/>
  <c r="R78" i="6" s="1"/>
  <c r="S78" i="6" s="1"/>
  <c r="E115" i="6"/>
  <c r="E86" i="6"/>
  <c r="R29" i="6" a="1"/>
  <c r="R29" i="6" s="1"/>
  <c r="Q29" i="6" a="1"/>
  <c r="Q29" i="6" s="1"/>
  <c r="F99" i="6"/>
  <c r="D103" i="6"/>
  <c r="Q54" i="6" a="1"/>
  <c r="Q54" i="6" s="1"/>
  <c r="R54" i="6" a="1"/>
  <c r="R54" i="6" s="1"/>
  <c r="R25" i="6" a="1"/>
  <c r="R25" i="6" s="1"/>
  <c r="Q25" i="6" a="1"/>
  <c r="Q25" i="6" s="1"/>
  <c r="Q4" i="6" a="1"/>
  <c r="Q4" i="6" s="1"/>
  <c r="R4" i="6" a="1"/>
  <c r="R4" i="6" s="1"/>
  <c r="R90" i="6" a="1"/>
  <c r="R90" i="6" s="1"/>
  <c r="S90" i="6" s="1"/>
  <c r="R122" i="6" a="1"/>
  <c r="R122" i="6" s="1"/>
  <c r="S122" i="6" s="1"/>
  <c r="F19" i="6"/>
  <c r="Q16" i="6" a="1"/>
  <c r="Q16" i="6" s="1"/>
  <c r="R16" i="6" a="1"/>
  <c r="R16" i="6" s="1"/>
  <c r="D85" i="6"/>
  <c r="F81" i="6"/>
  <c r="D84" i="6"/>
  <c r="F110" i="6"/>
  <c r="D114" i="6"/>
  <c r="F126" i="6"/>
  <c r="F84" i="6"/>
  <c r="D88" i="6"/>
  <c r="R79" i="6" a="1"/>
  <c r="R79" i="6" s="1"/>
  <c r="Q79" i="6" a="1"/>
  <c r="Q79" i="6" s="1"/>
  <c r="E102" i="6"/>
  <c r="R117" i="6" a="1"/>
  <c r="R117" i="6" s="1"/>
  <c r="Q117" i="6" a="1"/>
  <c r="Q117" i="6" s="1"/>
  <c r="E111" i="6"/>
  <c r="E120" i="6"/>
  <c r="Q44" i="6" a="1"/>
  <c r="Q44" i="6" s="1"/>
  <c r="R44" i="6" a="1"/>
  <c r="R44" i="6" s="1"/>
  <c r="E126" i="6"/>
  <c r="D47" i="6"/>
  <c r="F43" i="6"/>
  <c r="E32" i="6"/>
  <c r="Q48" i="6" a="1"/>
  <c r="Q48" i="6" s="1"/>
  <c r="R48" i="6" a="1"/>
  <c r="R48" i="6" s="1"/>
  <c r="E73" i="6"/>
  <c r="E82" i="6"/>
  <c r="E91" i="6"/>
  <c r="D109" i="6"/>
  <c r="F105" i="6"/>
  <c r="E127" i="6"/>
  <c r="E19" i="6"/>
  <c r="F34" i="6"/>
  <c r="D38" i="6"/>
  <c r="E18" i="6"/>
  <c r="Q77" i="6" a="1"/>
  <c r="Q77" i="6" s="1"/>
  <c r="R77" i="6" a="1"/>
  <c r="R77" i="6" s="1"/>
  <c r="E12" i="6"/>
  <c r="D29" i="6"/>
  <c r="F25" i="6"/>
  <c r="E103" i="6"/>
  <c r="D28" i="6"/>
  <c r="F24" i="6"/>
  <c r="F18" i="6"/>
  <c r="D22" i="6"/>
  <c r="E47" i="6"/>
  <c r="F60" i="6"/>
  <c r="D64" i="6"/>
  <c r="Q71" i="6" a="1"/>
  <c r="Q71" i="6" s="1"/>
  <c r="R71" i="6" a="1"/>
  <c r="R71" i="6" s="1"/>
  <c r="D73" i="6"/>
  <c r="F69" i="6"/>
  <c r="F78" i="6"/>
  <c r="D82" i="6"/>
  <c r="E89" i="6"/>
  <c r="F114" i="6"/>
  <c r="D118" i="6"/>
  <c r="E9" i="6"/>
  <c r="F5" i="6"/>
  <c r="E29" i="6"/>
  <c r="F6" i="6"/>
  <c r="D10" i="6"/>
  <c r="Q101" i="6" a="1"/>
  <c r="Q101" i="6" s="1"/>
  <c r="R101" i="6" a="1"/>
  <c r="R101" i="6" s="1"/>
  <c r="R31" i="6" a="1"/>
  <c r="R31" i="6" s="1"/>
  <c r="Q31" i="6" a="1"/>
  <c r="Q31" i="6" s="1"/>
  <c r="R107" i="6" a="1"/>
  <c r="R107" i="6" s="1"/>
  <c r="Q107" i="6" a="1"/>
  <c r="Q107" i="6" s="1"/>
  <c r="Q47" i="6" a="1"/>
  <c r="Q47" i="6" s="1"/>
  <c r="R47" i="6" a="1"/>
  <c r="R47" i="6" s="1"/>
  <c r="R35" i="6" a="1"/>
  <c r="R35" i="6" s="1"/>
  <c r="Q35" i="6" a="1"/>
  <c r="Q35" i="6" s="1"/>
  <c r="Q97" i="6" a="1"/>
  <c r="Q97" i="6" s="1"/>
  <c r="R97" i="6" a="1"/>
  <c r="R97" i="6" s="1"/>
  <c r="S97" i="6" s="1"/>
  <c r="R61" i="6" a="1"/>
  <c r="R61" i="6" s="1"/>
  <c r="S61" i="6" s="1"/>
  <c r="D67" i="6"/>
  <c r="E107" i="6"/>
  <c r="F116" i="6"/>
  <c r="D51" i="6"/>
  <c r="D23" i="6"/>
  <c r="E83" i="6"/>
  <c r="R42" i="6" a="1"/>
  <c r="R42" i="6" s="1"/>
  <c r="Q42" i="6" a="1"/>
  <c r="Q42" i="6" s="1"/>
  <c r="Q9" i="6" a="1"/>
  <c r="Q9" i="6" s="1"/>
  <c r="R9" i="6" a="1"/>
  <c r="R9" i="6" s="1"/>
  <c r="E124" i="6"/>
  <c r="Q5" i="6" a="1"/>
  <c r="Q5" i="6" s="1"/>
  <c r="R5" i="6" a="1"/>
  <c r="R5" i="6" s="1"/>
  <c r="S5" i="6" s="1"/>
  <c r="E7" i="6"/>
  <c r="E8" i="6"/>
  <c r="F91" i="6"/>
  <c r="E54" i="6"/>
  <c r="S21" i="6" l="1"/>
  <c r="S48" i="6"/>
  <c r="S54" i="6"/>
  <c r="S7" i="6"/>
  <c r="S87" i="6"/>
  <c r="S47" i="6"/>
  <c r="S8" i="6"/>
  <c r="S41" i="6"/>
  <c r="S29" i="6"/>
  <c r="S123" i="6"/>
  <c r="S37" i="6"/>
  <c r="S32" i="6"/>
  <c r="S31" i="6"/>
  <c r="S101" i="6"/>
  <c r="S3" i="6"/>
  <c r="S52" i="6"/>
  <c r="S117" i="6"/>
  <c r="S76" i="6"/>
  <c r="S98" i="6"/>
  <c r="S112" i="6"/>
  <c r="S114" i="6"/>
  <c r="S96" i="6"/>
  <c r="S86" i="6"/>
  <c r="S125" i="6"/>
  <c r="AI4" i="6"/>
  <c r="AI5" i="6"/>
  <c r="AI2" i="6"/>
  <c r="AI3" i="6"/>
  <c r="AI6" i="6"/>
  <c r="S116" i="6"/>
  <c r="S65" i="6"/>
  <c r="AJ6" i="6"/>
  <c r="AJ2" i="6"/>
  <c r="AJ3" i="6"/>
  <c r="AJ5" i="6"/>
  <c r="AJ4" i="6"/>
  <c r="S49" i="6"/>
  <c r="S106" i="6"/>
  <c r="S51" i="6"/>
  <c r="S77" i="6"/>
  <c r="S89" i="6"/>
  <c r="S118" i="6"/>
  <c r="S53" i="6"/>
  <c r="S115" i="6"/>
  <c r="S10" i="6"/>
  <c r="S107" i="6"/>
  <c r="S44" i="6"/>
  <c r="S64" i="6"/>
  <c r="S16" i="6"/>
  <c r="S46" i="6"/>
  <c r="S50" i="6"/>
  <c r="S26" i="6"/>
  <c r="W118" i="6"/>
  <c r="W107" i="6"/>
  <c r="W12" i="6"/>
  <c r="W41" i="6"/>
  <c r="W83" i="6"/>
  <c r="W6" i="6"/>
  <c r="W115" i="6"/>
  <c r="W82" i="6"/>
  <c r="W56" i="6"/>
  <c r="W43" i="6"/>
  <c r="W112" i="6"/>
  <c r="W113" i="6"/>
  <c r="W17" i="6"/>
  <c r="W66" i="6"/>
  <c r="W68" i="6"/>
  <c r="W60" i="6"/>
  <c r="W46" i="6"/>
  <c r="W85" i="6"/>
  <c r="W100" i="6"/>
  <c r="W129" i="6"/>
  <c r="F3" i="10" s="1"/>
  <c r="W87" i="6"/>
  <c r="W65" i="6"/>
  <c r="W69" i="6"/>
  <c r="W2" i="6"/>
  <c r="W84" i="6"/>
  <c r="W11" i="6"/>
  <c r="W34" i="6"/>
  <c r="W7" i="6"/>
  <c r="W26" i="6"/>
  <c r="W95" i="6"/>
  <c r="W97" i="6"/>
  <c r="W31" i="6"/>
  <c r="W67" i="6"/>
  <c r="W28" i="6"/>
  <c r="W24" i="6"/>
  <c r="W105" i="6"/>
  <c r="W15" i="6"/>
  <c r="W126" i="6"/>
  <c r="W101" i="6"/>
  <c r="W51" i="6"/>
  <c r="W119" i="6"/>
  <c r="W96" i="6"/>
  <c r="W8" i="6"/>
  <c r="W25" i="6"/>
  <c r="W49" i="6"/>
  <c r="W98" i="6"/>
  <c r="W110" i="6"/>
  <c r="W78" i="6"/>
  <c r="W23" i="6"/>
  <c r="W42" i="6"/>
  <c r="W19" i="6"/>
  <c r="W47" i="6"/>
  <c r="W116" i="6"/>
  <c r="W63" i="6"/>
  <c r="W62" i="6"/>
  <c r="W5" i="6"/>
  <c r="W64" i="6"/>
  <c r="W120" i="6"/>
  <c r="W77" i="6"/>
  <c r="W52" i="6"/>
  <c r="W45" i="6"/>
  <c r="W35" i="6"/>
  <c r="W92" i="6"/>
  <c r="W4" i="6"/>
  <c r="W61" i="6"/>
  <c r="W80" i="6"/>
  <c r="W122" i="6"/>
  <c r="W103" i="6"/>
  <c r="W93" i="6"/>
  <c r="W90" i="6"/>
  <c r="W106" i="6"/>
  <c r="W74" i="6"/>
  <c r="W121" i="6"/>
  <c r="W22" i="6"/>
  <c r="W3" i="6"/>
  <c r="W33" i="6"/>
  <c r="W109" i="6"/>
  <c r="W76" i="6"/>
  <c r="W21" i="6"/>
  <c r="W91" i="6"/>
  <c r="W37" i="6"/>
  <c r="S36" i="6"/>
  <c r="W20" i="6"/>
  <c r="S19" i="6"/>
  <c r="S72" i="6"/>
  <c r="S71" i="6"/>
  <c r="S4" i="6"/>
  <c r="R2" i="6" a="1"/>
  <c r="R2" i="6" s="1"/>
  <c r="Q2" i="6" a="1"/>
  <c r="Q2" i="6" s="1"/>
  <c r="W125" i="6"/>
  <c r="W40" i="6"/>
  <c r="S14" i="6"/>
  <c r="S85" i="6"/>
  <c r="W13" i="6"/>
  <c r="S80" i="6"/>
  <c r="S70" i="6"/>
  <c r="S30" i="6"/>
  <c r="W58" i="6"/>
  <c r="S43" i="6"/>
  <c r="W86" i="6"/>
  <c r="W104" i="6"/>
  <c r="S59" i="6"/>
  <c r="S68" i="6"/>
  <c r="S13" i="6"/>
  <c r="S109" i="6"/>
  <c r="S25" i="6"/>
  <c r="S81" i="6"/>
  <c r="S11" i="6"/>
  <c r="W36" i="6"/>
  <c r="S57" i="6"/>
  <c r="S113" i="6"/>
  <c r="S33" i="6"/>
  <c r="S15" i="6"/>
  <c r="S69" i="6"/>
  <c r="W57" i="6"/>
  <c r="W70" i="6"/>
  <c r="W123" i="6"/>
  <c r="W73" i="6"/>
  <c r="S12" i="6"/>
  <c r="S95" i="6"/>
  <c r="W44" i="6"/>
  <c r="S121" i="6"/>
  <c r="S55" i="6"/>
  <c r="W54" i="6"/>
  <c r="W71" i="6"/>
  <c r="W48" i="6"/>
  <c r="S79" i="6"/>
  <c r="W124" i="6"/>
  <c r="S35" i="6"/>
  <c r="W38" i="6"/>
  <c r="W59" i="6"/>
  <c r="W18" i="6"/>
  <c r="W99" i="6"/>
  <c r="W94" i="6"/>
  <c r="S119" i="6"/>
  <c r="S60" i="6"/>
  <c r="S83" i="6"/>
  <c r="S129" i="6"/>
  <c r="H3" i="10" s="1"/>
  <c r="S62" i="6"/>
  <c r="W29" i="6"/>
  <c r="W75" i="6"/>
  <c r="S126" i="6"/>
  <c r="S91" i="6"/>
  <c r="S93" i="6"/>
  <c r="W111" i="6"/>
  <c r="W39" i="6"/>
  <c r="S39" i="6"/>
  <c r="W32" i="6"/>
  <c r="W114" i="6"/>
  <c r="S9" i="6"/>
  <c r="W79" i="6"/>
  <c r="S6" i="6"/>
  <c r="W127" i="6"/>
  <c r="S88" i="6"/>
  <c r="W53" i="6"/>
  <c r="S99" i="6"/>
  <c r="W102" i="6"/>
  <c r="S73" i="6"/>
  <c r="W55" i="6"/>
  <c r="S20" i="6"/>
  <c r="W88" i="6"/>
  <c r="W81" i="6"/>
  <c r="W89" i="6"/>
  <c r="S56" i="6"/>
  <c r="W108" i="6"/>
  <c r="S75" i="6"/>
  <c r="W16" i="6"/>
  <c r="W72" i="6"/>
  <c r="W27" i="6"/>
  <c r="W50" i="6"/>
  <c r="W30" i="6"/>
  <c r="S42" i="6"/>
  <c r="S110" i="6"/>
  <c r="S74" i="6"/>
  <c r="W128" i="6"/>
  <c r="S111" i="6"/>
  <c r="S94" i="6"/>
  <c r="S100" i="6"/>
  <c r="S63" i="6"/>
  <c r="S104" i="6"/>
  <c r="S58" i="6"/>
  <c r="S92" i="6"/>
  <c r="W9" i="6"/>
  <c r="W117" i="6"/>
  <c r="W14" i="6"/>
  <c r="S66" i="6"/>
  <c r="S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3C8DB6-7D66-4D3A-A549-895FF39DBC4B}" keepAlive="1" name="Query - FII_DII_raw_synthetic_Jan-Jun2026" description="Connection to the 'FII_DII_raw_synthetic_Jan-Jun2026' query in the workbook." type="5" refreshedVersion="8" background="1" saveData="1">
    <dbPr connection="Provider=Microsoft.Mashup.OleDb.1;Data Source=$Workbook$;Location=FII_DII_raw_synthetic_Jan-Jun2026;Extended Properties=&quot;&quot;" command="SELECT * FROM [FII_DII_raw_synthetic_Jan-Jun2026]"/>
  </connection>
  <connection id="2" xr16:uid="{0D120078-BCD6-494E-B03D-189AA01A2429}" keepAlive="1" name="Query - Nifty 50 Historical Data" description="Connection to the 'Nifty 50 Historical Data' query in the workbook." type="5" refreshedVersion="8" background="1" saveData="1">
    <dbPr connection="Provider=Microsoft.Mashup.OleDb.1;Data Source=$Workbook$;Location=&quot;Nifty 50 Historical Data&quot;;Extended Properties=&quot;&quot;" command="SELECT * FROM [Nifty 50 Historical Data]"/>
  </connection>
  <connection id="3" xr16:uid="{E11639E2-1493-407E-86BA-15633BEF0662}" keepAlive="1" name="Query - Sector_PE_Snapshot" description="Connection to the 'Sector_PE_Snapshot' query in the workbook." type="5" refreshedVersion="8" background="1" saveData="1">
    <dbPr connection="Provider=Microsoft.Mashup.OleDb.1;Data Source=$Workbook$;Location=Sector_PE_Snapshot;Extended Properties=&quot;&quot;" command="SELECT * FROM [Sector_PE_Snapshot]"/>
  </connection>
  <connection id="4" xr16:uid="{87E6EC56-1EFA-4DBB-8660-2C5D433798F3}" keepAlive="1" name="Query - SectorMap" description="Connection to the 'SectorMap' query in the workbook." type="5" refreshedVersion="0" background="1">
    <dbPr connection="Provider=Microsoft.Mashup.OleDb.1;Data Source=$Workbook$;Location=SectorMap;Extended Properties=&quot;&quot;" command="SELECT * FROM [SectorMa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<sst xmlns="http://schemas.openxmlformats.org/spreadsheetml/2006/main" count="2836" uniqueCount="145">
  <si>
    <t>This Week FII Net (Cr)</t>
  </si>
  <si>
    <t>This Week DII Net (Cr)</t>
  </si>
  <si>
    <t>Current Signal</t>
  </si>
  <si>
    <t>Sector Concentration</t>
  </si>
  <si>
    <t>FII-Nifty Correlation</t>
  </si>
  <si>
    <t>Date</t>
  </si>
  <si>
    <t>FII_Net</t>
  </si>
  <si>
    <t>DII_Net</t>
  </si>
  <si>
    <t>Nifty_Close</t>
  </si>
  <si>
    <t>Market Signal Status</t>
  </si>
  <si>
    <t>FII Activity</t>
  </si>
  <si>
    <t>Concentration Risk</t>
  </si>
  <si>
    <t>AI-Generated Summary</t>
  </si>
  <si>
    <t>Entity_Type</t>
  </si>
  <si>
    <t>Sector</t>
  </si>
  <si>
    <t>Gross_Buy_Cr</t>
  </si>
  <si>
    <t>Gross_Sell_Cr</t>
  </si>
  <si>
    <t>Net_Flow_Cr</t>
  </si>
  <si>
    <t>Remarks</t>
  </si>
  <si>
    <t>Week_Num</t>
  </si>
  <si>
    <t>FII</t>
  </si>
  <si>
    <t>Pharmaceuticals</t>
  </si>
  <si>
    <t/>
  </si>
  <si>
    <t>DII</t>
  </si>
  <si>
    <t>Energy</t>
  </si>
  <si>
    <t>Information Technology</t>
  </si>
  <si>
    <t>Realty</t>
  </si>
  <si>
    <t>Metals</t>
  </si>
  <si>
    <t>FMCG</t>
  </si>
  <si>
    <t>Banking</t>
  </si>
  <si>
    <t>Telecom</t>
  </si>
  <si>
    <t>Infrastructure</t>
  </si>
  <si>
    <t>Automobile</t>
  </si>
  <si>
    <t>Reported in Lakh</t>
  </si>
  <si>
    <t>FII_Net_Cr</t>
  </si>
  <si>
    <t>DII_Net_Cr.</t>
  </si>
  <si>
    <t>FII_5Day_Avg</t>
  </si>
  <si>
    <t>DII_5Day_Avg</t>
  </si>
  <si>
    <t>Divergence_Index</t>
  </si>
  <si>
    <t>Total_FII_Abs</t>
  </si>
  <si>
    <t>Top2_Abs_Sum</t>
  </si>
  <si>
    <t>Sector_Concentration_Ratio</t>
  </si>
  <si>
    <t>Nifty_Change_Pct</t>
  </si>
  <si>
    <t>FII_Nifty_Correlation</t>
  </si>
  <si>
    <t>Signal_Flag</t>
  </si>
  <si>
    <t>FII_Threshold</t>
  </si>
  <si>
    <t>Scenario</t>
  </si>
  <si>
    <t>FII_Multiplier</t>
  </si>
  <si>
    <t>DII_Multiplier</t>
  </si>
  <si>
    <t>Selected_Scenario</t>
  </si>
  <si>
    <t>Active_FII_Mult</t>
  </si>
  <si>
    <t>Active_DII_Mult</t>
  </si>
  <si>
    <t>Forecast_Date</t>
  </si>
  <si>
    <t>Forecast_FII</t>
  </si>
  <si>
    <t>Forecast_DII</t>
  </si>
  <si>
    <t>Bull</t>
  </si>
  <si>
    <t>Base</t>
  </si>
  <si>
    <t>Bear</t>
  </si>
  <si>
    <t>PE_Ratio</t>
  </si>
  <si>
    <t>As_Of_Date</t>
  </si>
  <si>
    <t>Source_Note</t>
  </si>
  <si>
    <t>Approximates Nifty IT - premium for predictable earnings</t>
  </si>
  <si>
    <t>Approximates Bank Nifty - discount valuation</t>
  </si>
  <si>
    <t>Approximates Nifty Auto</t>
  </si>
  <si>
    <t>Approximates Nifty Pharma</t>
  </si>
  <si>
    <t>Approximates Nifty FMCG - premium for stable demand</t>
  </si>
  <si>
    <t>Approximates Nifty Metal - cyclical</t>
  </si>
  <si>
    <t>Approximates Nifty Energy</t>
  </si>
  <si>
    <t>Approximates Nifty Realty</t>
  </si>
  <si>
    <t>No standalone NSE sectoral PE index - estimated from constituent average</t>
  </si>
  <si>
    <t>Price</t>
  </si>
  <si>
    <t>Open</t>
  </si>
  <si>
    <t>High</t>
  </si>
  <si>
    <t>Low</t>
  </si>
  <si>
    <t>Vol</t>
  </si>
  <si>
    <t>Change %</t>
  </si>
  <si>
    <t>Transformation</t>
  </si>
  <si>
    <t>Rows Affected</t>
  </si>
  <si>
    <t>Assumption Made</t>
  </si>
  <si>
    <t>Why This Matters</t>
  </si>
  <si>
    <t>Duplicate header row removed</t>
  </si>
  <si>
    <t>1 row</t>
  </si>
  <si>
    <t>Second header row identical to first; filtered where Date = "Date"</t>
  </si>
  <si>
    <t>Prevents header text from being treated as a data row in calculations</t>
  </si>
  <si>
    <t>Date format normalization</t>
  </si>
  <si>
    <t>899 rows</t>
  </si>
  <si>
    <t>Dash-format (e.g. 04-10-2026) read as DD-MM-YYYY; slash-format (e.g. 01/30/2026) read as MM/DD/YYYY</t>
  </si>
  <si>
    <t>Wrong date interpretation would shift trend signals and forecast accuracy</t>
  </si>
  <si>
    <t>Sector name standardization</t>
  </si>
  <si>
    <t>63 rows</t>
  </si>
  <si>
    <t>Mapped via SectorMap table: "IT Sector"/"Infotech" → "Information Technology"; "Bank Sector"/"BFSI" → "Banking"; "Auto Sector"/"Auto" → "Automobile"</t>
  </si>
  <si>
    <t>Unmapped variants would fragment sector totals and break the rotation heatmap</t>
  </si>
  <si>
    <t>Unit conversion (Lakh → Crore)</t>
  </si>
  <si>
    <t>13 rows</t>
  </si>
  <si>
    <t>Divided Gross_Buy_Cr, Gross_Sell_Cr, Net_Flow_Cr by 100 where Remarks = "Reported in Lakh"</t>
  </si>
  <si>
    <t>Mixing units would massively inflate flow comparisons for affected rows</t>
  </si>
  <si>
    <t>Missing Net_Flow_Cr derived</t>
  </si>
  <si>
    <t>25 rows</t>
  </si>
  <si>
    <t>Calculated as Gross_Buy_Cr − Gross_Sell_Cr where Net_Flow_Cr was blank</t>
  </si>
  <si>
    <t>Avoids leaving gaps that would break SUMIFS/rolling average formulas</t>
  </si>
  <si>
    <t>Corrupted rows dropped</t>
  </si>
  <si>
    <t>3 rows</t>
  </si>
  <si>
    <t>Rows with #N/A/ERR text in all three numeric fields treated as unrecoverable</t>
  </si>
  <si>
    <t>Better to flag and exclude than silently include broken figures</t>
  </si>
  <si>
    <t>Duplicate entries removed</t>
  </si>
  <si>
    <t>18 rows</t>
  </si>
  <si>
    <t>Kept first occurrence per (Date, Entity_Type, Sector) combination</t>
  </si>
  <si>
    <t>Duplicate rows would double-count flows in totals and pivots</t>
  </si>
  <si>
    <t>Date re-correction (2nd pass)</t>
  </si>
  <si>
    <t>53 rows</t>
  </si>
  <si>
    <t>Initial date-format parsing swapped day/month for ambiguous dates (day ≤ 12 AND month &gt; 6, e.g. 10-04 read as Oct 4 instead of 10 Apr); re-derived using IF(MONTH&gt;6, swap, keep) since dataset is known to be Jan–Jun only</t>
  </si>
  <si>
    <t>First-pass cleaning caught obvious format issues but missed this subtler ambiguity — shows why spot-checking date ranges after cleaning matters, not just checking for nulls/duplicates</t>
  </si>
  <si>
    <t>Test</t>
  </si>
  <si>
    <t>Method</t>
  </si>
  <si>
    <t>Expected</t>
  </si>
  <si>
    <t>Actual</t>
  </si>
  <si>
    <t>Result</t>
  </si>
  <si>
    <t>Daily FII/DII SUMIFS</t>
  </si>
  <si>
    <t>Manually summed raw rows for one date</t>
  </si>
  <si>
    <t>Match formula output</t>
  </si>
  <si>
    <t>Matched exactly</t>
  </si>
  <si>
    <t>✅ Pass</t>
  </si>
  <si>
    <t>5-Day Rolling Average</t>
  </si>
  <si>
    <t>Hand-averaged 5 values</t>
  </si>
  <si>
    <t>Divergence Index</t>
  </si>
  <si>
    <t>ABS(FII)-ABS(DII) by hand</t>
  </si>
  <si>
    <t>Sector Concentration Ratio</t>
  </si>
  <si>
    <t>Manual top-2/total calc</t>
  </si>
  <si>
    <t>Date bug fix</t>
  </si>
  <si>
    <t>COUNTIF dates &gt; Jun 30</t>
  </si>
  <si>
    <t>Refresh test</t>
  </si>
  <si>
    <t>Changed raw value, traced ripple</t>
  </si>
  <si>
    <t>All 3 downstream cells update</t>
  </si>
  <si>
    <t>Confirmed</t>
  </si>
  <si>
    <t>Scenario toggle</t>
  </si>
  <si>
    <t>Bull/Bear multiplier check</t>
  </si>
  <si>
    <t>FII×1.5, DII×1.2 (Bull); FII×-1.3, DII×0.7 (Bear)</t>
  </si>
  <si>
    <t>Raw_Sector</t>
  </si>
  <si>
    <t>Standard_Sector</t>
  </si>
  <si>
    <t>IT Sector</t>
  </si>
  <si>
    <t>Infotech</t>
  </si>
  <si>
    <t>Bank Sector</t>
  </si>
  <si>
    <t>BFSI</t>
  </si>
  <si>
    <t>Auto Sector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</si>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</sst>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1D1A20"/>
      <name val="Aptos Display"/>
      <family val="2"/>
    </font>
    <font>
      <sz val="12"/>
      <color rgb="FF1D1A20"/>
      <name val="Aptos Display"/>
      <family val="2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3" fillId="2" borderId="7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1" fillId="3" borderId="0" xfId="0" applyFont="1" applyFill="1"/>
    <xf numFmtId="0" fontId="6" fillId="4" borderId="0" xfId="0" applyFont="1" applyFill="1"/>
    <xf numFmtId="10" fontId="6" fillId="4" borderId="0" xfId="0" applyNumberFormat="1" applyFont="1" applyFill="1"/>
    <xf numFmtId="0" fontId="1" fillId="0" borderId="0" xfId="0" applyFont="1" applyAlignment="1">
      <alignment horizontal="center"/>
    </xf>
    <xf numFmtId="0" fontId="7" fillId="6" borderId="1" xfId="2" applyBorder="1" applyAlignment="1">
      <alignment horizontal="left" vertical="center" wrapText="1"/>
    </xf>
    <xf numFmtId="0" fontId="7" fillId="6" borderId="1" xfId="2" applyBorder="1" applyAlignment="1">
      <alignment horizontal="left" vertical="center"/>
    </xf>
    <xf numFmtId="0" fontId="7" fillId="5" borderId="1" xfId="1" applyBorder="1" applyAlignment="1">
      <alignment horizontal="right" vertical="center" wrapText="1"/>
    </xf>
    <xf numFmtId="10" fontId="7" fillId="5" borderId="1" xfId="1" applyNumberForma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14" fontId="10" fillId="0" borderId="0" xfId="0" applyNumberFormat="1" applyFont="1"/>
    <xf numFmtId="10" fontId="10" fillId="0" borderId="0" xfId="0" applyNumberFormat="1" applyFont="1"/>
    <xf numFmtId="0" fontId="9" fillId="0" borderId="0" xfId="0" applyFont="1"/>
    <xf numFmtId="0" fontId="11" fillId="0" borderId="0" xfId="0" applyFont="1"/>
    <xf numFmtId="0" fontId="1" fillId="6" borderId="1" xfId="2" applyFont="1" applyBorder="1" applyAlignment="1">
      <alignment horizontal="left" vertical="center" wrapText="1"/>
    </xf>
    <xf numFmtId="0" fontId="1" fillId="5" borderId="1" xfId="1" applyFont="1" applyBorder="1" applyAlignment="1">
      <alignment horizontal="right" vertical="center" wrapText="1"/>
    </xf>
    <xf numFmtId="0" fontId="0" fillId="0" borderId="0" xfId="0" applyAlignment="1">
      <alignment horizontal="center" vertical="top" wrapText="1"/>
    </xf>
  </cellXfs>
  <cellStyles count="3">
    <cellStyle name="20% - Accent4" xfId="1" builtinId="42"/>
    <cellStyle name="20% - Accent5" xfId="2" builtinId="46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D1A20"/>
        <name val="Aptos Display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D1A20"/>
        <name val="Aptos Display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1D1A20"/>
        <name val="Aptos Display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D1A20"/>
        <name val="Aptos Display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FII/DII Flow vs NIFTY 50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Dashboard!$C$6</c:f>
              <c:strCache>
                <c:ptCount val="1"/>
                <c:pt idx="0">
                  <c:v>FII_Net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Dashboard!$B$7:$B$134</c:f>
              <c:numCache>
                <c:formatCode>m/d/yyyy</c:formatCode>
                <c:ptCount val="128"/>
                <c:pt idx="0">
                  <c:v>46023</c:v>
                </c:pt>
                <c:pt idx="1">
                  <c:v>46024</c:v>
                </c:pt>
                <c:pt idx="2">
                  <c:v>46026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46034</c:v>
                </c:pt>
                <c:pt idx="9">
                  <c:v>46035</c:v>
                </c:pt>
                <c:pt idx="10">
                  <c:v>46036</c:v>
                </c:pt>
                <c:pt idx="11">
                  <c:v>46037</c:v>
                </c:pt>
                <c:pt idx="12">
                  <c:v>46038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46054</c:v>
                </c:pt>
                <c:pt idx="23">
                  <c:v>46055</c:v>
                </c:pt>
                <c:pt idx="24">
                  <c:v>46056</c:v>
                </c:pt>
                <c:pt idx="25">
                  <c:v>46057</c:v>
                </c:pt>
                <c:pt idx="26">
                  <c:v>46058</c:v>
                </c:pt>
                <c:pt idx="27">
                  <c:v>46059</c:v>
                </c:pt>
                <c:pt idx="28">
                  <c:v>46062</c:v>
                </c:pt>
                <c:pt idx="29">
                  <c:v>46063</c:v>
                </c:pt>
                <c:pt idx="30">
                  <c:v>46064</c:v>
                </c:pt>
                <c:pt idx="31">
                  <c:v>46065</c:v>
                </c:pt>
                <c:pt idx="32">
                  <c:v>46066</c:v>
                </c:pt>
                <c:pt idx="33">
                  <c:v>46069</c:v>
                </c:pt>
                <c:pt idx="34">
                  <c:v>46070</c:v>
                </c:pt>
                <c:pt idx="35">
                  <c:v>46071</c:v>
                </c:pt>
                <c:pt idx="36">
                  <c:v>46072</c:v>
                </c:pt>
                <c:pt idx="37">
                  <c:v>46073</c:v>
                </c:pt>
                <c:pt idx="38">
                  <c:v>46076</c:v>
                </c:pt>
                <c:pt idx="39">
                  <c:v>46077</c:v>
                </c:pt>
                <c:pt idx="40">
                  <c:v>46078</c:v>
                </c:pt>
                <c:pt idx="41">
                  <c:v>46079</c:v>
                </c:pt>
                <c:pt idx="42">
                  <c:v>46080</c:v>
                </c:pt>
                <c:pt idx="43">
                  <c:v>46083</c:v>
                </c:pt>
                <c:pt idx="44">
                  <c:v>46084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  <c:pt idx="57">
                  <c:v>46104</c:v>
                </c:pt>
                <c:pt idx="58">
                  <c:v>46105</c:v>
                </c:pt>
                <c:pt idx="59">
                  <c:v>46106</c:v>
                </c:pt>
                <c:pt idx="60">
                  <c:v>46107</c:v>
                </c:pt>
                <c:pt idx="61">
                  <c:v>46108</c:v>
                </c:pt>
                <c:pt idx="62">
                  <c:v>46111</c:v>
                </c:pt>
                <c:pt idx="63">
                  <c:v>46112</c:v>
                </c:pt>
                <c:pt idx="64">
                  <c:v>46113</c:v>
                </c:pt>
                <c:pt idx="65">
                  <c:v>46114</c:v>
                </c:pt>
                <c:pt idx="66">
                  <c:v>46118</c:v>
                </c:pt>
                <c:pt idx="67">
                  <c:v>46119</c:v>
                </c:pt>
                <c:pt idx="68">
                  <c:v>46120</c:v>
                </c:pt>
                <c:pt idx="69">
                  <c:v>46121</c:v>
                </c:pt>
                <c:pt idx="70">
                  <c:v>46122</c:v>
                </c:pt>
                <c:pt idx="71">
                  <c:v>46125</c:v>
                </c:pt>
                <c:pt idx="72">
                  <c:v>46127</c:v>
                </c:pt>
                <c:pt idx="73">
                  <c:v>46128</c:v>
                </c:pt>
                <c:pt idx="74">
                  <c:v>46129</c:v>
                </c:pt>
                <c:pt idx="75">
                  <c:v>46132</c:v>
                </c:pt>
                <c:pt idx="76">
                  <c:v>46133</c:v>
                </c:pt>
                <c:pt idx="77">
                  <c:v>46134</c:v>
                </c:pt>
                <c:pt idx="78">
                  <c:v>46135</c:v>
                </c:pt>
                <c:pt idx="79">
                  <c:v>46136</c:v>
                </c:pt>
                <c:pt idx="80">
                  <c:v>46139</c:v>
                </c:pt>
                <c:pt idx="81">
                  <c:v>46140</c:v>
                </c:pt>
                <c:pt idx="82">
                  <c:v>46141</c:v>
                </c:pt>
                <c:pt idx="83">
                  <c:v>46142</c:v>
                </c:pt>
                <c:pt idx="84">
                  <c:v>46143</c:v>
                </c:pt>
                <c:pt idx="85">
                  <c:v>46144</c:v>
                </c:pt>
                <c:pt idx="86">
                  <c:v>46145</c:v>
                </c:pt>
                <c:pt idx="87">
                  <c:v>46146</c:v>
                </c:pt>
                <c:pt idx="88">
                  <c:v>46147</c:v>
                </c:pt>
                <c:pt idx="89">
                  <c:v>46148</c:v>
                </c:pt>
                <c:pt idx="90">
                  <c:v>46149</c:v>
                </c:pt>
                <c:pt idx="91">
                  <c:v>46150</c:v>
                </c:pt>
                <c:pt idx="92">
                  <c:v>46153</c:v>
                </c:pt>
                <c:pt idx="93">
                  <c:v>46154</c:v>
                </c:pt>
                <c:pt idx="94">
                  <c:v>46155</c:v>
                </c:pt>
                <c:pt idx="95">
                  <c:v>46156</c:v>
                </c:pt>
                <c:pt idx="96">
                  <c:v>46157</c:v>
                </c:pt>
                <c:pt idx="97">
                  <c:v>46160</c:v>
                </c:pt>
                <c:pt idx="98">
                  <c:v>46161</c:v>
                </c:pt>
                <c:pt idx="99">
                  <c:v>46162</c:v>
                </c:pt>
                <c:pt idx="100">
                  <c:v>46163</c:v>
                </c:pt>
                <c:pt idx="101">
                  <c:v>46164</c:v>
                </c:pt>
                <c:pt idx="102">
                  <c:v>46167</c:v>
                </c:pt>
                <c:pt idx="103">
                  <c:v>46168</c:v>
                </c:pt>
                <c:pt idx="104">
                  <c:v>46169</c:v>
                </c:pt>
                <c:pt idx="105">
                  <c:v>46170</c:v>
                </c:pt>
                <c:pt idx="106">
                  <c:v>46171</c:v>
                </c:pt>
                <c:pt idx="107">
                  <c:v>46174</c:v>
                </c:pt>
                <c:pt idx="108">
                  <c:v>46175</c:v>
                </c:pt>
                <c:pt idx="109">
                  <c:v>46176</c:v>
                </c:pt>
                <c:pt idx="110">
                  <c:v>46177</c:v>
                </c:pt>
                <c:pt idx="111">
                  <c:v>46178</c:v>
                </c:pt>
                <c:pt idx="112">
                  <c:v>46181</c:v>
                </c:pt>
                <c:pt idx="113">
                  <c:v>46182</c:v>
                </c:pt>
                <c:pt idx="114">
                  <c:v>46183</c:v>
                </c:pt>
                <c:pt idx="115">
                  <c:v>46184</c:v>
                </c:pt>
                <c:pt idx="116">
                  <c:v>46185</c:v>
                </c:pt>
                <c:pt idx="117">
                  <c:v>46188</c:v>
                </c:pt>
                <c:pt idx="118">
                  <c:v>46189</c:v>
                </c:pt>
                <c:pt idx="119">
                  <c:v>46191</c:v>
                </c:pt>
                <c:pt idx="120">
                  <c:v>46192</c:v>
                </c:pt>
                <c:pt idx="121">
                  <c:v>46195</c:v>
                </c:pt>
                <c:pt idx="122">
                  <c:v>46196</c:v>
                </c:pt>
                <c:pt idx="123">
                  <c:v>46197</c:v>
                </c:pt>
                <c:pt idx="124">
                  <c:v>46198</c:v>
                </c:pt>
                <c:pt idx="125">
                  <c:v>46199</c:v>
                </c:pt>
                <c:pt idx="126">
                  <c:v>46202</c:v>
                </c:pt>
                <c:pt idx="127">
                  <c:v>46203</c:v>
                </c:pt>
              </c:numCache>
            </c:numRef>
          </c:cat>
          <c:val>
            <c:numRef>
              <c:f>Dashboard!$C$7:$C$134</c:f>
              <c:numCache>
                <c:formatCode>General</c:formatCode>
                <c:ptCount val="128"/>
                <c:pt idx="0">
                  <c:v>-2180.65</c:v>
                </c:pt>
                <c:pt idx="1">
                  <c:v>-1365.57</c:v>
                </c:pt>
                <c:pt idx="2">
                  <c:v>1818.05</c:v>
                </c:pt>
                <c:pt idx="3">
                  <c:v>-733.3</c:v>
                </c:pt>
                <c:pt idx="4">
                  <c:v>-3622.57</c:v>
                </c:pt>
                <c:pt idx="5">
                  <c:v>-1768.06</c:v>
                </c:pt>
                <c:pt idx="6">
                  <c:v>688.41000000000008</c:v>
                </c:pt>
                <c:pt idx="7">
                  <c:v>-1508.4699999999998</c:v>
                </c:pt>
                <c:pt idx="8">
                  <c:v>-1801.5</c:v>
                </c:pt>
                <c:pt idx="9">
                  <c:v>1150.5900000000001</c:v>
                </c:pt>
                <c:pt idx="10">
                  <c:v>435.56999999999994</c:v>
                </c:pt>
                <c:pt idx="11">
                  <c:v>-2230.1999999999998</c:v>
                </c:pt>
                <c:pt idx="12">
                  <c:v>-1653.04</c:v>
                </c:pt>
                <c:pt idx="13">
                  <c:v>-228.07999999999998</c:v>
                </c:pt>
                <c:pt idx="14">
                  <c:v>-362.41999999999985</c:v>
                </c:pt>
                <c:pt idx="15">
                  <c:v>-2813.09</c:v>
                </c:pt>
                <c:pt idx="16">
                  <c:v>-1521.72</c:v>
                </c:pt>
                <c:pt idx="17">
                  <c:v>-802.91</c:v>
                </c:pt>
                <c:pt idx="18">
                  <c:v>722.96</c:v>
                </c:pt>
                <c:pt idx="19">
                  <c:v>1613.1</c:v>
                </c:pt>
                <c:pt idx="20">
                  <c:v>975.46</c:v>
                </c:pt>
                <c:pt idx="21">
                  <c:v>1093.24</c:v>
                </c:pt>
                <c:pt idx="22">
                  <c:v>0</c:v>
                </c:pt>
                <c:pt idx="23">
                  <c:v>287.40000000000009</c:v>
                </c:pt>
                <c:pt idx="24">
                  <c:v>-880.88</c:v>
                </c:pt>
                <c:pt idx="25">
                  <c:v>-434.18000000000006</c:v>
                </c:pt>
                <c:pt idx="26">
                  <c:v>-535.83000000000004</c:v>
                </c:pt>
                <c:pt idx="27">
                  <c:v>-3718.5300000000007</c:v>
                </c:pt>
                <c:pt idx="28">
                  <c:v>707.17</c:v>
                </c:pt>
                <c:pt idx="29">
                  <c:v>-871.08</c:v>
                </c:pt>
                <c:pt idx="30">
                  <c:v>-1084.28</c:v>
                </c:pt>
                <c:pt idx="31">
                  <c:v>4387.25</c:v>
                </c:pt>
                <c:pt idx="32">
                  <c:v>-3033.88</c:v>
                </c:pt>
                <c:pt idx="33">
                  <c:v>927.28</c:v>
                </c:pt>
                <c:pt idx="34">
                  <c:v>2225.5100000000002</c:v>
                </c:pt>
                <c:pt idx="35">
                  <c:v>-3043.95</c:v>
                </c:pt>
                <c:pt idx="36">
                  <c:v>1004.28</c:v>
                </c:pt>
                <c:pt idx="37">
                  <c:v>-771.64</c:v>
                </c:pt>
                <c:pt idx="38">
                  <c:v>1626.15</c:v>
                </c:pt>
                <c:pt idx="39">
                  <c:v>2362.14</c:v>
                </c:pt>
                <c:pt idx="40">
                  <c:v>3258.4300000000003</c:v>
                </c:pt>
                <c:pt idx="41">
                  <c:v>1.8899999999999864</c:v>
                </c:pt>
                <c:pt idx="42">
                  <c:v>-179.63999999999996</c:v>
                </c:pt>
                <c:pt idx="43">
                  <c:v>-443.99999999999989</c:v>
                </c:pt>
                <c:pt idx="44">
                  <c:v>-59.149999999999977</c:v>
                </c:pt>
                <c:pt idx="45">
                  <c:v>279.2399999999999</c:v>
                </c:pt>
                <c:pt idx="46">
                  <c:v>3561.08</c:v>
                </c:pt>
                <c:pt idx="47">
                  <c:v>463.18000000000006</c:v>
                </c:pt>
                <c:pt idx="48">
                  <c:v>2768.79</c:v>
                </c:pt>
                <c:pt idx="49">
                  <c:v>-648.81000000000006</c:v>
                </c:pt>
                <c:pt idx="50">
                  <c:v>1715.8899999999999</c:v>
                </c:pt>
                <c:pt idx="51">
                  <c:v>2031.44</c:v>
                </c:pt>
                <c:pt idx="52">
                  <c:v>-2893.48</c:v>
                </c:pt>
                <c:pt idx="53">
                  <c:v>-2815.8899999999994</c:v>
                </c:pt>
                <c:pt idx="54">
                  <c:v>-857.15000000000009</c:v>
                </c:pt>
                <c:pt idx="55">
                  <c:v>201.79000000000019</c:v>
                </c:pt>
                <c:pt idx="56">
                  <c:v>-2869.5000000000005</c:v>
                </c:pt>
                <c:pt idx="57">
                  <c:v>406.62</c:v>
                </c:pt>
                <c:pt idx="58">
                  <c:v>3031.2</c:v>
                </c:pt>
                <c:pt idx="59">
                  <c:v>-346.42999999999989</c:v>
                </c:pt>
                <c:pt idx="60">
                  <c:v>-1181.76</c:v>
                </c:pt>
                <c:pt idx="61">
                  <c:v>457.11</c:v>
                </c:pt>
                <c:pt idx="62">
                  <c:v>-472.34000000000003</c:v>
                </c:pt>
                <c:pt idx="63">
                  <c:v>1588.14</c:v>
                </c:pt>
                <c:pt idx="64">
                  <c:v>814.82999999999993</c:v>
                </c:pt>
                <c:pt idx="65">
                  <c:v>976.54999999999973</c:v>
                </c:pt>
                <c:pt idx="66">
                  <c:v>925.07999999999993</c:v>
                </c:pt>
                <c:pt idx="67">
                  <c:v>3936.06</c:v>
                </c:pt>
                <c:pt idx="68">
                  <c:v>359.6099999999999</c:v>
                </c:pt>
                <c:pt idx="69">
                  <c:v>-1053.6199999999999</c:v>
                </c:pt>
                <c:pt idx="70">
                  <c:v>282.28999999999996</c:v>
                </c:pt>
                <c:pt idx="71">
                  <c:v>-679.66000000000008</c:v>
                </c:pt>
                <c:pt idx="72">
                  <c:v>1613.0400000000002</c:v>
                </c:pt>
                <c:pt idx="73">
                  <c:v>2624.03</c:v>
                </c:pt>
                <c:pt idx="74">
                  <c:v>259.33999999999997</c:v>
                </c:pt>
                <c:pt idx="75">
                  <c:v>-2587.6499999999996</c:v>
                </c:pt>
                <c:pt idx="76">
                  <c:v>-1080.1499999999999</c:v>
                </c:pt>
                <c:pt idx="77">
                  <c:v>-574.79999999999995</c:v>
                </c:pt>
                <c:pt idx="78">
                  <c:v>988.98999999999978</c:v>
                </c:pt>
                <c:pt idx="79">
                  <c:v>-663.81</c:v>
                </c:pt>
                <c:pt idx="80">
                  <c:v>608.52</c:v>
                </c:pt>
                <c:pt idx="81">
                  <c:v>219.97000000000003</c:v>
                </c:pt>
                <c:pt idx="82">
                  <c:v>-296.42000000000013</c:v>
                </c:pt>
                <c:pt idx="83">
                  <c:v>-2044.3700000000001</c:v>
                </c:pt>
                <c:pt idx="84">
                  <c:v>462.9</c:v>
                </c:pt>
                <c:pt idx="85">
                  <c:v>1214.76</c:v>
                </c:pt>
                <c:pt idx="86">
                  <c:v>1204.8800000000001</c:v>
                </c:pt>
                <c:pt idx="87">
                  <c:v>399.83999999999992</c:v>
                </c:pt>
                <c:pt idx="88">
                  <c:v>-297.64999999999998</c:v>
                </c:pt>
                <c:pt idx="89">
                  <c:v>-507.68000000000006</c:v>
                </c:pt>
                <c:pt idx="90">
                  <c:v>784.98</c:v>
                </c:pt>
                <c:pt idx="91">
                  <c:v>-1435.66</c:v>
                </c:pt>
                <c:pt idx="92">
                  <c:v>230.22999999999996</c:v>
                </c:pt>
                <c:pt idx="93">
                  <c:v>1165.8500000000001</c:v>
                </c:pt>
                <c:pt idx="94">
                  <c:v>-1064.94</c:v>
                </c:pt>
                <c:pt idx="95">
                  <c:v>1217.57</c:v>
                </c:pt>
                <c:pt idx="96">
                  <c:v>1139.5700000000002</c:v>
                </c:pt>
                <c:pt idx="97">
                  <c:v>3269.83</c:v>
                </c:pt>
                <c:pt idx="98">
                  <c:v>-1603.27</c:v>
                </c:pt>
                <c:pt idx="99">
                  <c:v>169.97000000000014</c:v>
                </c:pt>
                <c:pt idx="100">
                  <c:v>-1840.14</c:v>
                </c:pt>
                <c:pt idx="101">
                  <c:v>-1013.4000000000001</c:v>
                </c:pt>
                <c:pt idx="102">
                  <c:v>-751.5</c:v>
                </c:pt>
                <c:pt idx="103">
                  <c:v>130.54999999999995</c:v>
                </c:pt>
                <c:pt idx="104">
                  <c:v>-632.07999999999993</c:v>
                </c:pt>
                <c:pt idx="105">
                  <c:v>1234.3200000000002</c:v>
                </c:pt>
                <c:pt idx="106">
                  <c:v>790.73000000000025</c:v>
                </c:pt>
                <c:pt idx="107">
                  <c:v>263.88</c:v>
                </c:pt>
                <c:pt idx="108">
                  <c:v>-614.34</c:v>
                </c:pt>
                <c:pt idx="109">
                  <c:v>1389.3600000000001</c:v>
                </c:pt>
                <c:pt idx="110">
                  <c:v>-2279.2200000000003</c:v>
                </c:pt>
                <c:pt idx="111">
                  <c:v>3096.4300000000003</c:v>
                </c:pt>
                <c:pt idx="112">
                  <c:v>-2107.06</c:v>
                </c:pt>
                <c:pt idx="113">
                  <c:v>1222.94</c:v>
                </c:pt>
                <c:pt idx="114">
                  <c:v>684.0200000000001</c:v>
                </c:pt>
                <c:pt idx="115">
                  <c:v>-439.62000000000006</c:v>
                </c:pt>
                <c:pt idx="116">
                  <c:v>-1128.53</c:v>
                </c:pt>
                <c:pt idx="117">
                  <c:v>-543.31999999999994</c:v>
                </c:pt>
                <c:pt idx="118">
                  <c:v>1018</c:v>
                </c:pt>
                <c:pt idx="119">
                  <c:v>1487.75</c:v>
                </c:pt>
                <c:pt idx="120">
                  <c:v>-3379.46</c:v>
                </c:pt>
                <c:pt idx="121">
                  <c:v>-1592.6</c:v>
                </c:pt>
                <c:pt idx="122">
                  <c:v>183.37000000000012</c:v>
                </c:pt>
                <c:pt idx="123">
                  <c:v>-407.43999999999994</c:v>
                </c:pt>
                <c:pt idx="124">
                  <c:v>1592.5500000000002</c:v>
                </c:pt>
                <c:pt idx="125">
                  <c:v>-813.79</c:v>
                </c:pt>
                <c:pt idx="126">
                  <c:v>2111.2800000000002</c:v>
                </c:pt>
                <c:pt idx="127">
                  <c:v>1541.5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7-4220-BE6E-A4717D2138EE}"/>
            </c:ext>
          </c:extLst>
        </c:ser>
        <c:ser>
          <c:idx val="1"/>
          <c:order val="1"/>
          <c:tx>
            <c:strRef>
              <c:f>Dashboard!$D$6</c:f>
              <c:strCache>
                <c:ptCount val="1"/>
                <c:pt idx="0">
                  <c:v>DII_Net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Dashboard!$B$7:$B$134</c:f>
              <c:numCache>
                <c:formatCode>m/d/yyyy</c:formatCode>
                <c:ptCount val="128"/>
                <c:pt idx="0">
                  <c:v>46023</c:v>
                </c:pt>
                <c:pt idx="1">
                  <c:v>46024</c:v>
                </c:pt>
                <c:pt idx="2">
                  <c:v>46026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46034</c:v>
                </c:pt>
                <c:pt idx="9">
                  <c:v>46035</c:v>
                </c:pt>
                <c:pt idx="10">
                  <c:v>46036</c:v>
                </c:pt>
                <c:pt idx="11">
                  <c:v>46037</c:v>
                </c:pt>
                <c:pt idx="12">
                  <c:v>46038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46054</c:v>
                </c:pt>
                <c:pt idx="23">
                  <c:v>46055</c:v>
                </c:pt>
                <c:pt idx="24">
                  <c:v>46056</c:v>
                </c:pt>
                <c:pt idx="25">
                  <c:v>46057</c:v>
                </c:pt>
                <c:pt idx="26">
                  <c:v>46058</c:v>
                </c:pt>
                <c:pt idx="27">
                  <c:v>46059</c:v>
                </c:pt>
                <c:pt idx="28">
                  <c:v>46062</c:v>
                </c:pt>
                <c:pt idx="29">
                  <c:v>46063</c:v>
                </c:pt>
                <c:pt idx="30">
                  <c:v>46064</c:v>
                </c:pt>
                <c:pt idx="31">
                  <c:v>46065</c:v>
                </c:pt>
                <c:pt idx="32">
                  <c:v>46066</c:v>
                </c:pt>
                <c:pt idx="33">
                  <c:v>46069</c:v>
                </c:pt>
                <c:pt idx="34">
                  <c:v>46070</c:v>
                </c:pt>
                <c:pt idx="35">
                  <c:v>46071</c:v>
                </c:pt>
                <c:pt idx="36">
                  <c:v>46072</c:v>
                </c:pt>
                <c:pt idx="37">
                  <c:v>46073</c:v>
                </c:pt>
                <c:pt idx="38">
                  <c:v>46076</c:v>
                </c:pt>
                <c:pt idx="39">
                  <c:v>46077</c:v>
                </c:pt>
                <c:pt idx="40">
                  <c:v>46078</c:v>
                </c:pt>
                <c:pt idx="41">
                  <c:v>46079</c:v>
                </c:pt>
                <c:pt idx="42">
                  <c:v>46080</c:v>
                </c:pt>
                <c:pt idx="43">
                  <c:v>46083</c:v>
                </c:pt>
                <c:pt idx="44">
                  <c:v>46084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  <c:pt idx="57">
                  <c:v>46104</c:v>
                </c:pt>
                <c:pt idx="58">
                  <c:v>46105</c:v>
                </c:pt>
                <c:pt idx="59">
                  <c:v>46106</c:v>
                </c:pt>
                <c:pt idx="60">
                  <c:v>46107</c:v>
                </c:pt>
                <c:pt idx="61">
                  <c:v>46108</c:v>
                </c:pt>
                <c:pt idx="62">
                  <c:v>46111</c:v>
                </c:pt>
                <c:pt idx="63">
                  <c:v>46112</c:v>
                </c:pt>
                <c:pt idx="64">
                  <c:v>46113</c:v>
                </c:pt>
                <c:pt idx="65">
                  <c:v>46114</c:v>
                </c:pt>
                <c:pt idx="66">
                  <c:v>46118</c:v>
                </c:pt>
                <c:pt idx="67">
                  <c:v>46119</c:v>
                </c:pt>
                <c:pt idx="68">
                  <c:v>46120</c:v>
                </c:pt>
                <c:pt idx="69">
                  <c:v>46121</c:v>
                </c:pt>
                <c:pt idx="70">
                  <c:v>46122</c:v>
                </c:pt>
                <c:pt idx="71">
                  <c:v>46125</c:v>
                </c:pt>
                <c:pt idx="72">
                  <c:v>46127</c:v>
                </c:pt>
                <c:pt idx="73">
                  <c:v>46128</c:v>
                </c:pt>
                <c:pt idx="74">
                  <c:v>46129</c:v>
                </c:pt>
                <c:pt idx="75">
                  <c:v>46132</c:v>
                </c:pt>
                <c:pt idx="76">
                  <c:v>46133</c:v>
                </c:pt>
                <c:pt idx="77">
                  <c:v>46134</c:v>
                </c:pt>
                <c:pt idx="78">
                  <c:v>46135</c:v>
                </c:pt>
                <c:pt idx="79">
                  <c:v>46136</c:v>
                </c:pt>
                <c:pt idx="80">
                  <c:v>46139</c:v>
                </c:pt>
                <c:pt idx="81">
                  <c:v>46140</c:v>
                </c:pt>
                <c:pt idx="82">
                  <c:v>46141</c:v>
                </c:pt>
                <c:pt idx="83">
                  <c:v>46142</c:v>
                </c:pt>
                <c:pt idx="84">
                  <c:v>46143</c:v>
                </c:pt>
                <c:pt idx="85">
                  <c:v>46144</c:v>
                </c:pt>
                <c:pt idx="86">
                  <c:v>46145</c:v>
                </c:pt>
                <c:pt idx="87">
                  <c:v>46146</c:v>
                </c:pt>
                <c:pt idx="88">
                  <c:v>46147</c:v>
                </c:pt>
                <c:pt idx="89">
                  <c:v>46148</c:v>
                </c:pt>
                <c:pt idx="90">
                  <c:v>46149</c:v>
                </c:pt>
                <c:pt idx="91">
                  <c:v>46150</c:v>
                </c:pt>
                <c:pt idx="92">
                  <c:v>46153</c:v>
                </c:pt>
                <c:pt idx="93">
                  <c:v>46154</c:v>
                </c:pt>
                <c:pt idx="94">
                  <c:v>46155</c:v>
                </c:pt>
                <c:pt idx="95">
                  <c:v>46156</c:v>
                </c:pt>
                <c:pt idx="96">
                  <c:v>46157</c:v>
                </c:pt>
                <c:pt idx="97">
                  <c:v>46160</c:v>
                </c:pt>
                <c:pt idx="98">
                  <c:v>46161</c:v>
                </c:pt>
                <c:pt idx="99">
                  <c:v>46162</c:v>
                </c:pt>
                <c:pt idx="100">
                  <c:v>46163</c:v>
                </c:pt>
                <c:pt idx="101">
                  <c:v>46164</c:v>
                </c:pt>
                <c:pt idx="102">
                  <c:v>46167</c:v>
                </c:pt>
                <c:pt idx="103">
                  <c:v>46168</c:v>
                </c:pt>
                <c:pt idx="104">
                  <c:v>46169</c:v>
                </c:pt>
                <c:pt idx="105">
                  <c:v>46170</c:v>
                </c:pt>
                <c:pt idx="106">
                  <c:v>46171</c:v>
                </c:pt>
                <c:pt idx="107">
                  <c:v>46174</c:v>
                </c:pt>
                <c:pt idx="108">
                  <c:v>46175</c:v>
                </c:pt>
                <c:pt idx="109">
                  <c:v>46176</c:v>
                </c:pt>
                <c:pt idx="110">
                  <c:v>46177</c:v>
                </c:pt>
                <c:pt idx="111">
                  <c:v>46178</c:v>
                </c:pt>
                <c:pt idx="112">
                  <c:v>46181</c:v>
                </c:pt>
                <c:pt idx="113">
                  <c:v>46182</c:v>
                </c:pt>
                <c:pt idx="114">
                  <c:v>46183</c:v>
                </c:pt>
                <c:pt idx="115">
                  <c:v>46184</c:v>
                </c:pt>
                <c:pt idx="116">
                  <c:v>46185</c:v>
                </c:pt>
                <c:pt idx="117">
                  <c:v>46188</c:v>
                </c:pt>
                <c:pt idx="118">
                  <c:v>46189</c:v>
                </c:pt>
                <c:pt idx="119">
                  <c:v>46191</c:v>
                </c:pt>
                <c:pt idx="120">
                  <c:v>46192</c:v>
                </c:pt>
                <c:pt idx="121">
                  <c:v>46195</c:v>
                </c:pt>
                <c:pt idx="122">
                  <c:v>46196</c:v>
                </c:pt>
                <c:pt idx="123">
                  <c:v>46197</c:v>
                </c:pt>
                <c:pt idx="124">
                  <c:v>46198</c:v>
                </c:pt>
                <c:pt idx="125">
                  <c:v>46199</c:v>
                </c:pt>
                <c:pt idx="126">
                  <c:v>46202</c:v>
                </c:pt>
                <c:pt idx="127">
                  <c:v>46203</c:v>
                </c:pt>
              </c:numCache>
            </c:numRef>
          </c:cat>
          <c:val>
            <c:numRef>
              <c:f>Dashboard!$D$7:$D$134</c:f>
              <c:numCache>
                <c:formatCode>General</c:formatCode>
                <c:ptCount val="128"/>
                <c:pt idx="0">
                  <c:v>845.45</c:v>
                </c:pt>
                <c:pt idx="1">
                  <c:v>-108.07999999999998</c:v>
                </c:pt>
                <c:pt idx="2">
                  <c:v>38.729999999999997</c:v>
                </c:pt>
                <c:pt idx="3">
                  <c:v>779.7</c:v>
                </c:pt>
                <c:pt idx="4">
                  <c:v>3347.9</c:v>
                </c:pt>
                <c:pt idx="5">
                  <c:v>-372.19000000000005</c:v>
                </c:pt>
                <c:pt idx="6">
                  <c:v>-1471.1599999999999</c:v>
                </c:pt>
                <c:pt idx="7">
                  <c:v>-452.34000000000003</c:v>
                </c:pt>
                <c:pt idx="8">
                  <c:v>929.8599999999999</c:v>
                </c:pt>
                <c:pt idx="9">
                  <c:v>-2409.5800000000004</c:v>
                </c:pt>
                <c:pt idx="10">
                  <c:v>-3322.44</c:v>
                </c:pt>
                <c:pt idx="11">
                  <c:v>-1759.25</c:v>
                </c:pt>
                <c:pt idx="12">
                  <c:v>-236.68000000000006</c:v>
                </c:pt>
                <c:pt idx="13">
                  <c:v>2934.5600000000004</c:v>
                </c:pt>
                <c:pt idx="14">
                  <c:v>-1119.5500000000002</c:v>
                </c:pt>
                <c:pt idx="15">
                  <c:v>2840.95</c:v>
                </c:pt>
                <c:pt idx="16">
                  <c:v>-2912.2000000000003</c:v>
                </c:pt>
                <c:pt idx="17">
                  <c:v>704.78</c:v>
                </c:pt>
                <c:pt idx="18">
                  <c:v>-1053.5</c:v>
                </c:pt>
                <c:pt idx="19">
                  <c:v>-587.46000000000026</c:v>
                </c:pt>
                <c:pt idx="20">
                  <c:v>113.58999999999986</c:v>
                </c:pt>
                <c:pt idx="21">
                  <c:v>193.32000000000016</c:v>
                </c:pt>
                <c:pt idx="22">
                  <c:v>-2036.44</c:v>
                </c:pt>
                <c:pt idx="23">
                  <c:v>1995.15</c:v>
                </c:pt>
                <c:pt idx="24">
                  <c:v>1029.73</c:v>
                </c:pt>
                <c:pt idx="25">
                  <c:v>4713.66</c:v>
                </c:pt>
                <c:pt idx="26">
                  <c:v>-55.55</c:v>
                </c:pt>
                <c:pt idx="27">
                  <c:v>-275.18</c:v>
                </c:pt>
                <c:pt idx="28">
                  <c:v>2037.52</c:v>
                </c:pt>
                <c:pt idx="29">
                  <c:v>1950.44</c:v>
                </c:pt>
                <c:pt idx="30">
                  <c:v>1160.45</c:v>
                </c:pt>
                <c:pt idx="31">
                  <c:v>-210.40999999999997</c:v>
                </c:pt>
                <c:pt idx="32">
                  <c:v>846.59999999999991</c:v>
                </c:pt>
                <c:pt idx="33">
                  <c:v>-1609.9700000000003</c:v>
                </c:pt>
                <c:pt idx="34">
                  <c:v>1401.0100000000002</c:v>
                </c:pt>
                <c:pt idx="35">
                  <c:v>-924.85</c:v>
                </c:pt>
                <c:pt idx="36">
                  <c:v>-234.1</c:v>
                </c:pt>
                <c:pt idx="37">
                  <c:v>3222.69</c:v>
                </c:pt>
                <c:pt idx="38">
                  <c:v>-853.56999999999971</c:v>
                </c:pt>
                <c:pt idx="39">
                  <c:v>-2068.19</c:v>
                </c:pt>
                <c:pt idx="40">
                  <c:v>1353.33</c:v>
                </c:pt>
                <c:pt idx="41">
                  <c:v>-2523.75</c:v>
                </c:pt>
                <c:pt idx="42">
                  <c:v>3771.8599999999997</c:v>
                </c:pt>
                <c:pt idx="43">
                  <c:v>-1850.4999999999998</c:v>
                </c:pt>
                <c:pt idx="44">
                  <c:v>1816.7399999999996</c:v>
                </c:pt>
                <c:pt idx="45">
                  <c:v>-2027.96</c:v>
                </c:pt>
                <c:pt idx="46">
                  <c:v>-1380.9</c:v>
                </c:pt>
                <c:pt idx="47">
                  <c:v>334.6</c:v>
                </c:pt>
                <c:pt idx="48">
                  <c:v>-2019.3600000000001</c:v>
                </c:pt>
                <c:pt idx="49">
                  <c:v>2698.8199999999997</c:v>
                </c:pt>
                <c:pt idx="50">
                  <c:v>693</c:v>
                </c:pt>
                <c:pt idx="51">
                  <c:v>2193.81</c:v>
                </c:pt>
                <c:pt idx="52">
                  <c:v>-3683.5699999999997</c:v>
                </c:pt>
                <c:pt idx="53">
                  <c:v>-701.6</c:v>
                </c:pt>
                <c:pt idx="54">
                  <c:v>1074.08</c:v>
                </c:pt>
                <c:pt idx="55">
                  <c:v>2579.0699999999997</c:v>
                </c:pt>
                <c:pt idx="56">
                  <c:v>1680.5099999999998</c:v>
                </c:pt>
                <c:pt idx="57">
                  <c:v>510.03999999999996</c:v>
                </c:pt>
                <c:pt idx="58">
                  <c:v>1321</c:v>
                </c:pt>
                <c:pt idx="59">
                  <c:v>-1773.7600000000002</c:v>
                </c:pt>
                <c:pt idx="60">
                  <c:v>-3565.34</c:v>
                </c:pt>
                <c:pt idx="61">
                  <c:v>773.81000000000006</c:v>
                </c:pt>
                <c:pt idx="62">
                  <c:v>-126.50999999999999</c:v>
                </c:pt>
                <c:pt idx="63">
                  <c:v>720.25999999999976</c:v>
                </c:pt>
                <c:pt idx="64">
                  <c:v>-2224.06</c:v>
                </c:pt>
                <c:pt idx="65">
                  <c:v>32.590000000000003</c:v>
                </c:pt>
                <c:pt idx="66">
                  <c:v>2744.8799999999997</c:v>
                </c:pt>
                <c:pt idx="67">
                  <c:v>-109.78999999999985</c:v>
                </c:pt>
                <c:pt idx="68">
                  <c:v>3055.6800000000003</c:v>
                </c:pt>
                <c:pt idx="69">
                  <c:v>2153.7599999999998</c:v>
                </c:pt>
                <c:pt idx="70">
                  <c:v>-529.96</c:v>
                </c:pt>
                <c:pt idx="71">
                  <c:v>-4018.2999999999997</c:v>
                </c:pt>
                <c:pt idx="72">
                  <c:v>271.07999999999993</c:v>
                </c:pt>
                <c:pt idx="73">
                  <c:v>374.62999999999988</c:v>
                </c:pt>
                <c:pt idx="74">
                  <c:v>304.99</c:v>
                </c:pt>
                <c:pt idx="75">
                  <c:v>1196.8900000000001</c:v>
                </c:pt>
                <c:pt idx="76">
                  <c:v>1599.49</c:v>
                </c:pt>
                <c:pt idx="77">
                  <c:v>415.78999999999985</c:v>
                </c:pt>
                <c:pt idx="78">
                  <c:v>-120.35000000000002</c:v>
                </c:pt>
                <c:pt idx="79">
                  <c:v>-2085.7199999999998</c:v>
                </c:pt>
                <c:pt idx="80">
                  <c:v>387.21000000000004</c:v>
                </c:pt>
                <c:pt idx="81">
                  <c:v>800.1</c:v>
                </c:pt>
                <c:pt idx="82">
                  <c:v>-1903.1399999999999</c:v>
                </c:pt>
                <c:pt idx="83">
                  <c:v>1558.19</c:v>
                </c:pt>
                <c:pt idx="84">
                  <c:v>1709.7</c:v>
                </c:pt>
                <c:pt idx="85">
                  <c:v>898.71</c:v>
                </c:pt>
                <c:pt idx="86">
                  <c:v>2153.54</c:v>
                </c:pt>
                <c:pt idx="87">
                  <c:v>99.620000000000061</c:v>
                </c:pt>
                <c:pt idx="88">
                  <c:v>-642.07999999999993</c:v>
                </c:pt>
                <c:pt idx="89">
                  <c:v>52.150000000000077</c:v>
                </c:pt>
                <c:pt idx="90">
                  <c:v>2153.56</c:v>
                </c:pt>
                <c:pt idx="91">
                  <c:v>-1644.15</c:v>
                </c:pt>
                <c:pt idx="92">
                  <c:v>-1737.7000000000003</c:v>
                </c:pt>
                <c:pt idx="93">
                  <c:v>1203.9899999999996</c:v>
                </c:pt>
                <c:pt idx="94">
                  <c:v>3566.46</c:v>
                </c:pt>
                <c:pt idx="95">
                  <c:v>1503.52</c:v>
                </c:pt>
                <c:pt idx="96">
                  <c:v>2120.5500000000002</c:v>
                </c:pt>
                <c:pt idx="97">
                  <c:v>450.53</c:v>
                </c:pt>
                <c:pt idx="98">
                  <c:v>1094.29</c:v>
                </c:pt>
                <c:pt idx="99">
                  <c:v>1012.65</c:v>
                </c:pt>
                <c:pt idx="100">
                  <c:v>-1274.8399999999997</c:v>
                </c:pt>
                <c:pt idx="101">
                  <c:v>1480.31</c:v>
                </c:pt>
                <c:pt idx="102">
                  <c:v>-873.81</c:v>
                </c:pt>
                <c:pt idx="103">
                  <c:v>-2212.1799999999998</c:v>
                </c:pt>
                <c:pt idx="104">
                  <c:v>192.81999999999994</c:v>
                </c:pt>
                <c:pt idx="105">
                  <c:v>1156.44</c:v>
                </c:pt>
                <c:pt idx="106">
                  <c:v>-1126.06</c:v>
                </c:pt>
                <c:pt idx="107">
                  <c:v>-2744.29</c:v>
                </c:pt>
                <c:pt idx="108">
                  <c:v>-1388.97</c:v>
                </c:pt>
                <c:pt idx="109">
                  <c:v>-2942.7699999999995</c:v>
                </c:pt>
                <c:pt idx="110">
                  <c:v>2011.52</c:v>
                </c:pt>
                <c:pt idx="111">
                  <c:v>3927.12</c:v>
                </c:pt>
                <c:pt idx="112">
                  <c:v>1456.15</c:v>
                </c:pt>
                <c:pt idx="113">
                  <c:v>1636.8799999999997</c:v>
                </c:pt>
                <c:pt idx="114">
                  <c:v>-1041.03</c:v>
                </c:pt>
                <c:pt idx="115">
                  <c:v>1028.3899999999999</c:v>
                </c:pt>
                <c:pt idx="116">
                  <c:v>-4973.26</c:v>
                </c:pt>
                <c:pt idx="117">
                  <c:v>1441.35</c:v>
                </c:pt>
                <c:pt idx="118">
                  <c:v>-4579.9400000000005</c:v>
                </c:pt>
                <c:pt idx="119">
                  <c:v>77.990000000000009</c:v>
                </c:pt>
                <c:pt idx="120">
                  <c:v>-3787.3</c:v>
                </c:pt>
                <c:pt idx="121">
                  <c:v>-603.71</c:v>
                </c:pt>
                <c:pt idx="122">
                  <c:v>-1032.2999999999997</c:v>
                </c:pt>
                <c:pt idx="123">
                  <c:v>-1939.07</c:v>
                </c:pt>
                <c:pt idx="124">
                  <c:v>-1302.73</c:v>
                </c:pt>
                <c:pt idx="125">
                  <c:v>605.63</c:v>
                </c:pt>
                <c:pt idx="126">
                  <c:v>2604.5600000000004</c:v>
                </c:pt>
                <c:pt idx="127">
                  <c:v>-1951.7099999999998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7-4220-BE6E-A4717D213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905232"/>
        <c:axId val="1383803984"/>
      </c:barChart>
      <c:lineChart>
        <c:grouping val="standard"/>
        <c:varyColors val="0"/>
        <c:ser>
          <c:idx val="2"/>
          <c:order val="2"/>
          <c:tx>
            <c:strRef>
              <c:f>Dashboard!$E$6</c:f>
              <c:strCache>
                <c:ptCount val="1"/>
                <c:pt idx="0">
                  <c:v>Nifty_Close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Dashboard!$B$7:$B$134</c:f>
              <c:numCache>
                <c:formatCode>m/d/yyyy</c:formatCode>
                <c:ptCount val="128"/>
                <c:pt idx="0">
                  <c:v>46023</c:v>
                </c:pt>
                <c:pt idx="1">
                  <c:v>46024</c:v>
                </c:pt>
                <c:pt idx="2">
                  <c:v>46026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46034</c:v>
                </c:pt>
                <c:pt idx="9">
                  <c:v>46035</c:v>
                </c:pt>
                <c:pt idx="10">
                  <c:v>46036</c:v>
                </c:pt>
                <c:pt idx="11">
                  <c:v>46037</c:v>
                </c:pt>
                <c:pt idx="12">
                  <c:v>46038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46054</c:v>
                </c:pt>
                <c:pt idx="23">
                  <c:v>46055</c:v>
                </c:pt>
                <c:pt idx="24">
                  <c:v>46056</c:v>
                </c:pt>
                <c:pt idx="25">
                  <c:v>46057</c:v>
                </c:pt>
                <c:pt idx="26">
                  <c:v>46058</c:v>
                </c:pt>
                <c:pt idx="27">
                  <c:v>46059</c:v>
                </c:pt>
                <c:pt idx="28">
                  <c:v>46062</c:v>
                </c:pt>
                <c:pt idx="29">
                  <c:v>46063</c:v>
                </c:pt>
                <c:pt idx="30">
                  <c:v>46064</c:v>
                </c:pt>
                <c:pt idx="31">
                  <c:v>46065</c:v>
                </c:pt>
                <c:pt idx="32">
                  <c:v>46066</c:v>
                </c:pt>
                <c:pt idx="33">
                  <c:v>46069</c:v>
                </c:pt>
                <c:pt idx="34">
                  <c:v>46070</c:v>
                </c:pt>
                <c:pt idx="35">
                  <c:v>46071</c:v>
                </c:pt>
                <c:pt idx="36">
                  <c:v>46072</c:v>
                </c:pt>
                <c:pt idx="37">
                  <c:v>46073</c:v>
                </c:pt>
                <c:pt idx="38">
                  <c:v>46076</c:v>
                </c:pt>
                <c:pt idx="39">
                  <c:v>46077</c:v>
                </c:pt>
                <c:pt idx="40">
                  <c:v>46078</c:v>
                </c:pt>
                <c:pt idx="41">
                  <c:v>46079</c:v>
                </c:pt>
                <c:pt idx="42">
                  <c:v>46080</c:v>
                </c:pt>
                <c:pt idx="43">
                  <c:v>46083</c:v>
                </c:pt>
                <c:pt idx="44">
                  <c:v>46084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  <c:pt idx="57">
                  <c:v>46104</c:v>
                </c:pt>
                <c:pt idx="58">
                  <c:v>46105</c:v>
                </c:pt>
                <c:pt idx="59">
                  <c:v>46106</c:v>
                </c:pt>
                <c:pt idx="60">
                  <c:v>46107</c:v>
                </c:pt>
                <c:pt idx="61">
                  <c:v>46108</c:v>
                </c:pt>
                <c:pt idx="62">
                  <c:v>46111</c:v>
                </c:pt>
                <c:pt idx="63">
                  <c:v>46112</c:v>
                </c:pt>
                <c:pt idx="64">
                  <c:v>46113</c:v>
                </c:pt>
                <c:pt idx="65">
                  <c:v>46114</c:v>
                </c:pt>
                <c:pt idx="66">
                  <c:v>46118</c:v>
                </c:pt>
                <c:pt idx="67">
                  <c:v>46119</c:v>
                </c:pt>
                <c:pt idx="68">
                  <c:v>46120</c:v>
                </c:pt>
                <c:pt idx="69">
                  <c:v>46121</c:v>
                </c:pt>
                <c:pt idx="70">
                  <c:v>46122</c:v>
                </c:pt>
                <c:pt idx="71">
                  <c:v>46125</c:v>
                </c:pt>
                <c:pt idx="72">
                  <c:v>46127</c:v>
                </c:pt>
                <c:pt idx="73">
                  <c:v>46128</c:v>
                </c:pt>
                <c:pt idx="74">
                  <c:v>46129</c:v>
                </c:pt>
                <c:pt idx="75">
                  <c:v>46132</c:v>
                </c:pt>
                <c:pt idx="76">
                  <c:v>46133</c:v>
                </c:pt>
                <c:pt idx="77">
                  <c:v>46134</c:v>
                </c:pt>
                <c:pt idx="78">
                  <c:v>46135</c:v>
                </c:pt>
                <c:pt idx="79">
                  <c:v>46136</c:v>
                </c:pt>
                <c:pt idx="80">
                  <c:v>46139</c:v>
                </c:pt>
                <c:pt idx="81">
                  <c:v>46140</c:v>
                </c:pt>
                <c:pt idx="82">
                  <c:v>46141</c:v>
                </c:pt>
                <c:pt idx="83">
                  <c:v>46142</c:v>
                </c:pt>
                <c:pt idx="84">
                  <c:v>46143</c:v>
                </c:pt>
                <c:pt idx="85">
                  <c:v>46144</c:v>
                </c:pt>
                <c:pt idx="86">
                  <c:v>46145</c:v>
                </c:pt>
                <c:pt idx="87">
                  <c:v>46146</c:v>
                </c:pt>
                <c:pt idx="88">
                  <c:v>46147</c:v>
                </c:pt>
                <c:pt idx="89">
                  <c:v>46148</c:v>
                </c:pt>
                <c:pt idx="90">
                  <c:v>46149</c:v>
                </c:pt>
                <c:pt idx="91">
                  <c:v>46150</c:v>
                </c:pt>
                <c:pt idx="92">
                  <c:v>46153</c:v>
                </c:pt>
                <c:pt idx="93">
                  <c:v>46154</c:v>
                </c:pt>
                <c:pt idx="94">
                  <c:v>46155</c:v>
                </c:pt>
                <c:pt idx="95">
                  <c:v>46156</c:v>
                </c:pt>
                <c:pt idx="96">
                  <c:v>46157</c:v>
                </c:pt>
                <c:pt idx="97">
                  <c:v>46160</c:v>
                </c:pt>
                <c:pt idx="98">
                  <c:v>46161</c:v>
                </c:pt>
                <c:pt idx="99">
                  <c:v>46162</c:v>
                </c:pt>
                <c:pt idx="100">
                  <c:v>46163</c:v>
                </c:pt>
                <c:pt idx="101">
                  <c:v>46164</c:v>
                </c:pt>
                <c:pt idx="102">
                  <c:v>46167</c:v>
                </c:pt>
                <c:pt idx="103">
                  <c:v>46168</c:v>
                </c:pt>
                <c:pt idx="104">
                  <c:v>46169</c:v>
                </c:pt>
                <c:pt idx="105">
                  <c:v>46170</c:v>
                </c:pt>
                <c:pt idx="106">
                  <c:v>46171</c:v>
                </c:pt>
                <c:pt idx="107">
                  <c:v>46174</c:v>
                </c:pt>
                <c:pt idx="108">
                  <c:v>46175</c:v>
                </c:pt>
                <c:pt idx="109">
                  <c:v>46176</c:v>
                </c:pt>
                <c:pt idx="110">
                  <c:v>46177</c:v>
                </c:pt>
                <c:pt idx="111">
                  <c:v>46178</c:v>
                </c:pt>
                <c:pt idx="112">
                  <c:v>46181</c:v>
                </c:pt>
                <c:pt idx="113">
                  <c:v>46182</c:v>
                </c:pt>
                <c:pt idx="114">
                  <c:v>46183</c:v>
                </c:pt>
                <c:pt idx="115">
                  <c:v>46184</c:v>
                </c:pt>
                <c:pt idx="116">
                  <c:v>46185</c:v>
                </c:pt>
                <c:pt idx="117">
                  <c:v>46188</c:v>
                </c:pt>
                <c:pt idx="118">
                  <c:v>46189</c:v>
                </c:pt>
                <c:pt idx="119">
                  <c:v>46191</c:v>
                </c:pt>
                <c:pt idx="120">
                  <c:v>46192</c:v>
                </c:pt>
                <c:pt idx="121">
                  <c:v>46195</c:v>
                </c:pt>
                <c:pt idx="122">
                  <c:v>46196</c:v>
                </c:pt>
                <c:pt idx="123">
                  <c:v>46197</c:v>
                </c:pt>
                <c:pt idx="124">
                  <c:v>46198</c:v>
                </c:pt>
                <c:pt idx="125">
                  <c:v>46199</c:v>
                </c:pt>
                <c:pt idx="126">
                  <c:v>46202</c:v>
                </c:pt>
                <c:pt idx="127">
                  <c:v>46203</c:v>
                </c:pt>
              </c:numCache>
            </c:numRef>
          </c:cat>
          <c:val>
            <c:numRef>
              <c:f>Dashboard!$E$7</c:f>
              <c:numCache>
                <c:formatCode>General</c:formatCode>
                <c:ptCount val="1"/>
                <c:pt idx="0">
                  <c:v>26146.55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B7-4220-BE6E-A4717D213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426800"/>
        <c:axId val="1383772784"/>
      </c:lineChart>
      <c:dateAx>
        <c:axId val="17449052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803984"/>
        <c:crosses val="autoZero"/>
        <c:auto val="1"/>
        <c:lblOffset val="100"/>
        <c:baseTimeUnit val="days"/>
      </c:dateAx>
      <c:valAx>
        <c:axId val="1383803984"/>
        <c:scaling>
          <c:orientation val="minMax"/>
          <c:max val="2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</a:t>
                </a:r>
                <a:r>
                  <a:rPr lang="en-IN" sz="1000" b="0" i="0" u="none" strike="noStrike" baseline="0"/>
                  <a:t>Net Flow (Cr)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905232"/>
        <c:crosses val="autoZero"/>
        <c:crossBetween val="between"/>
      </c:valAx>
      <c:valAx>
        <c:axId val="13837727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NIFTY 50 Index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426800"/>
        <c:crosses val="max"/>
        <c:crossBetween val="between"/>
      </c:valAx>
      <c:dateAx>
        <c:axId val="17194268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8377278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408113</xdr:colOff>
      <xdr:row>7</xdr:row>
      <xdr:rowOff>39516</xdr:rowOff>
    </xdr:from>
    <xdr:to>
      <xdr:col>16</xdr:col>
      <xdr:colOff>234462</xdr:colOff>
      <xdr:row>34</xdr:row>
      <xdr:rowOff>33495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2E7775-78A9-2734-0CD9-3DFA797DF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30A679-35A8-42CD-96AC-4DF126A8F249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Date" tableColumnId="1"/>
      <queryTableField id="2" name="Entity_Type" tableColumnId="2"/>
      <queryTableField id="3" name="Sector" tableColumnId="3"/>
      <queryTableField id="4" name="Gross_Buy_Cr" tableColumnId="4"/>
      <queryTableField id="5" name="Gross_Sell_Cr" tableColumnId="5"/>
      <queryTableField id="6" name="Net_Flow_Cr" tableColumnId="6"/>
      <queryTableField id="7" name="Remarks" tableColumnId="7"/>
      <queryTableField id="9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08B3C00-39DD-4595-A4D4-BB63D24EDA48}" autoFormatId="16" applyNumberFormats="0" applyBorderFormats="0" applyFontFormats="0" applyPatternFormats="0" applyAlignmentFormats="0" applyWidthHeightFormats="0">
  <queryTableRefresh nextId="5">
    <queryTableFields count="4">
      <queryTableField id="1" name="Sector" tableColumnId="1"/>
      <queryTableField id="2" name="PE_Ratio" tableColumnId="2"/>
      <queryTableField id="3" name="As_Of_Date" tableColumnId="3"/>
      <queryTableField id="4" name="Source_No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40A0CA9-A192-4017-A217-AF1654558AAA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" tableColumnId="6"/>
      <queryTableField id="7" name="Change 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CA5B2-CB34-4F34-810B-C9978CA09D16}" name="FII_DII_raw_synthetic_Jan_Jun2026" displayName="FII_DII_raw_synthetic_Jan_Jun2026" ref="A1:H879" tableType="queryTable" totalsRowShown="0">
  <autoFilter ref="A1:H879" xr:uid="{F3DCA5B2-CB34-4F34-810B-C9978CA09D16}"/>
  <tableColumns count="8">
    <tableColumn id="1" xr3:uid="{9069DE89-CFA4-446E-9F00-1BE452C22235}" uniqueName="1" name="Date" queryTableFieldId="1" dataDxfId="18"/>
    <tableColumn id="2" xr3:uid="{E576B4C5-3C24-43A1-B524-1AA50A08552B}" uniqueName="2" name="Entity_Type" queryTableFieldId="2" dataDxfId="17"/>
    <tableColumn id="3" xr3:uid="{FF3B2C0A-F1B6-4ADE-9824-74B12ABBFB83}" uniqueName="3" name="Sector" queryTableFieldId="3" dataDxfId="16"/>
    <tableColumn id="4" xr3:uid="{1BBE6E4B-7AEA-4787-9E24-1746AFDFDB64}" uniqueName="4" name="Gross_Buy_Cr" queryTableFieldId="4" dataDxfId="15"/>
    <tableColumn id="5" xr3:uid="{FD55D5B5-5A92-4DE5-A41D-C59EA1942774}" uniqueName="5" name="Gross_Sell_Cr" queryTableFieldId="5" dataDxfId="14"/>
    <tableColumn id="6" xr3:uid="{749ADFBC-3D2A-4CAC-BC1A-843B3E033B9F}" uniqueName="6" name="Net_Flow_Cr" queryTableFieldId="6" dataDxfId="13"/>
    <tableColumn id="7" xr3:uid="{720ED3F8-A032-489A-BF87-74A4E5471F3F}" uniqueName="7" name="Remarks" queryTableFieldId="7" dataDxfId="12"/>
    <tableColumn id="8" xr3:uid="{DF62DDA3-56C9-41FF-97CF-071A327B4D16}" uniqueName="8" name="Week_Num" queryTableFieldId="9" dataDxfId="11">
      <calculatedColumnFormula>WEEKNUM(A2,2)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350461-DF2D-483E-917C-FC30A4A7DD51}" name="Sector_PE_Snapshot" displayName="Sector_PE_Snapshot" ref="A1:D11" tableType="queryTable" totalsRowShown="0">
  <autoFilter ref="A1:D11" xr:uid="{C8350461-DF2D-483E-917C-FC30A4A7DD51}"/>
  <tableColumns count="4">
    <tableColumn id="1" xr3:uid="{15513138-5488-403C-9B22-F1F80F4EBFE8}" uniqueName="1" name="Sector" queryTableFieldId="1" dataDxfId="10"/>
    <tableColumn id="2" xr3:uid="{D5AFB53D-4975-437F-BEB5-18AF478B3954}" uniqueName="2" name="PE_Ratio" queryTableFieldId="2"/>
    <tableColumn id="3" xr3:uid="{90544CAD-EDEA-4AFA-8ADE-C3B7BC792B9D}" uniqueName="3" name="As_Of_Date" queryTableFieldId="3" dataDxfId="9"/>
    <tableColumn id="4" xr3:uid="{46B9A31A-5465-4776-88B6-3213DBD25F58}" uniqueName="4" name="Source_Note" queryTableFieldId="4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81A3C1-CFB9-4D13-BB42-B0525BCB6BEA}" name="Nifty_50_Historical_Data" displayName="Nifty_50_Historical_Data" ref="A1:G120" tableType="queryTable" totalsRowShown="0">
  <autoFilter ref="A1:G120" xr:uid="{3481A3C1-CFB9-4D13-BB42-B0525BCB6BEA}"/>
  <tableColumns count="7">
    <tableColumn id="1" xr3:uid="{35452769-3F28-483E-834B-ED4C2464C94E}" uniqueName="1" name="Date" queryTableFieldId="1" dataDxfId="7"/>
    <tableColumn id="2" xr3:uid="{8AA6CDC8-A549-4E5E-A325-4C9F100E2378}" uniqueName="2" name="Price" queryTableFieldId="2"/>
    <tableColumn id="3" xr3:uid="{85AA51B6-FE22-4F2A-AAFF-3DE583080D55}" uniqueName="3" name="Open" queryTableFieldId="3"/>
    <tableColumn id="4" xr3:uid="{C4B0687A-993A-4264-8FB0-3A4EA1797AA7}" uniqueName="4" name="High" queryTableFieldId="4"/>
    <tableColumn id="5" xr3:uid="{D2E34A75-ACBD-403B-AA06-318026E14C36}" uniqueName="5" name="Low" queryTableFieldId="5"/>
    <tableColumn id="6" xr3:uid="{67AC6763-9A47-4296-B752-CD9CC1F3CFF4}" uniqueName="6" name="Vol" queryTableFieldId="6"/>
    <tableColumn id="7" xr3:uid="{15C88474-780D-40EA-B443-324D76FE8C16}" uniqueName="7" name="Change %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564B08-7C54-49E6-B4DF-82F4AEDA58EC}" name="SectorMap" displayName="SectorMap" ref="A1:B17" totalsRowShown="0" headerRowDxfId="6" dataDxfId="5" headerRowBorderDxfId="3" tableBorderDxfId="4" totalsRowBorderDxfId="2">
  <autoFilter ref="A1:B17" xr:uid="{26564B08-7C54-49E6-B4DF-82F4AEDA58EC}"/>
  <tableColumns count="2">
    <tableColumn id="1" xr3:uid="{3FE9C370-6ED6-4BED-B037-13E20AA2F890}" name="Raw_Sector" dataDxfId="1"/>
    <tableColumn id="2" xr3:uid="{E37C54A1-CCC5-40AF-852B-0E2EC2D86B08}" name="Standard_Sect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1D39-0D28-4664-85A2-C175083174EF}">
  <sheetPr>
    <tabColor theme="2" tint="-0.249977111117893"/>
  </sheetPr>
  <dimension ref="B2:J146"/>
  <sheetViews>
    <sheetView showGridLines="0" showRowColHeaders="0" tabSelected="1" zoomScale="98" zoomScaleNormal="98" workbookViewId="0">
      <selection activeCell="Q24" sqref="Q24"/>
    </sheetView>
  </sheetViews>
  <sheetFormatPr defaultRowHeight="14.45"/>
  <cols>
    <col min="2" max="2" width="18.85546875" bestFit="1" customWidth="1"/>
    <col min="3" max="3" width="8.7109375" bestFit="1" customWidth="1"/>
    <col min="4" max="4" width="20.7109375" bestFit="1" customWidth="1"/>
    <col min="5" max="5" width="11.28515625" bestFit="1" customWidth="1"/>
    <col min="6" max="6" width="24.28515625" bestFit="1" customWidth="1"/>
    <col min="8" max="8" width="18.7109375" bestFit="1" customWidth="1"/>
    <col min="10" max="10" width="23.7109375" bestFit="1" customWidth="1"/>
  </cols>
  <sheetData>
    <row r="2" spans="2:10">
      <c r="B2" s="12" t="s">
        <v>0</v>
      </c>
      <c r="C2" s="2"/>
      <c r="D2" s="12" t="s">
        <v>1</v>
      </c>
      <c r="E2" s="2"/>
      <c r="F2" s="12" t="s">
        <v>2</v>
      </c>
      <c r="G2" s="2"/>
      <c r="H2" s="12" t="s">
        <v>3</v>
      </c>
      <c r="I2" s="2"/>
      <c r="J2" s="12" t="s">
        <v>4</v>
      </c>
    </row>
    <row r="3" spans="2:10" s="11" customFormat="1" ht="25.9">
      <c r="B3" s="13">
        <f>SUMIFS(FII_DII_raw_synthetic_Jan_Jun2026[Net_Flow_Cr],FII_DII_raw_synthetic_Jan_Jun2026[Week_Num],MAX(FII_DII_raw_synthetic_Jan_Jun2026[Week_Num]),FII_DII_raw_synthetic_Jan_Jun2026[Entity_Type],"FII")</f>
        <v>3652.78</v>
      </c>
      <c r="C3" s="10"/>
      <c r="D3" s="13">
        <f>SUMIFS(FII_DII_raw_synthetic_Jan_Jun2026[Net_Flow_Cr],FII_DII_raw_synthetic_Jan_Jun2026[Week_Num],MAX(FII_DII_raw_synthetic_Jan_Jun2026[Week_Num]),FII_DII_raw_synthetic_Jan_Jun2026[Entity_Type],"DII")</f>
        <v>652.85000000000036</v>
      </c>
      <c r="E3" s="10"/>
      <c r="F3" s="13" t="str">
        <f>INDEX(Flow_Model!W:W,MATCH(MAX(Flow_Model!A:A),Flow_Model!A:A,0))</f>
        <v>Divergent Flow</v>
      </c>
      <c r="G3" s="10"/>
      <c r="H3" s="14">
        <f>INDEX(Flow_Model!S:S,MATCH(MAX(Flow_Model!A:A),Flow_Model!A:A,0))</f>
        <v>0.65952900795641178</v>
      </c>
      <c r="I3" s="10"/>
      <c r="J3" s="13">
        <f>Flow_Model!V2</f>
        <v>-1.7208541351339871E-2</v>
      </c>
    </row>
    <row r="6" spans="2:10">
      <c r="B6" s="15" t="s">
        <v>5</v>
      </c>
      <c r="C6" s="15" t="s">
        <v>6</v>
      </c>
      <c r="D6" s="15" t="s">
        <v>7</v>
      </c>
      <c r="E6" s="15" t="s">
        <v>8</v>
      </c>
    </row>
    <row r="7" spans="2:10">
      <c r="B7" s="1">
        <f>Flow_Model!A2</f>
        <v>46023</v>
      </c>
      <c r="C7">
        <f>Flow_Model!B2</f>
        <v>-2180.65</v>
      </c>
      <c r="D7">
        <f>Flow_Model!C2</f>
        <v>845.45</v>
      </c>
      <c r="E7">
        <f>IFERROR(_xlfn.XLOOKUP(B7,'Nifty 50 Historical Data'!A:A,'Nifty 50 Historical Data'!B:B),"")</f>
        <v>26146.55</v>
      </c>
    </row>
    <row r="8" spans="2:10">
      <c r="B8" s="1">
        <f>Flow_Model!A3</f>
        <v>46024</v>
      </c>
      <c r="C8">
        <f>Flow_Model!B3</f>
        <v>-1365.57</v>
      </c>
      <c r="D8">
        <f>Flow_Model!C3</f>
        <v>-108.07999999999998</v>
      </c>
      <c r="E8">
        <f>IFERROR(_xlfn.XLOOKUP(B8,'Nifty 50 Historical Data'!A:A,'Nifty 50 Historical Data'!B:B),"")</f>
        <v>26328.55</v>
      </c>
    </row>
    <row r="9" spans="2:10">
      <c r="B9" s="1">
        <f>Flow_Model!A4</f>
        <v>46026</v>
      </c>
      <c r="C9">
        <f>Flow_Model!B4</f>
        <v>1818.05</v>
      </c>
      <c r="D9">
        <f>Flow_Model!C4</f>
        <v>38.729999999999997</v>
      </c>
      <c r="E9" t="str">
        <f>IFERROR(_xlfn.XLOOKUP(B9,'Nifty 50 Historical Data'!A:A,'Nifty 50 Historical Data'!B:B),"")</f>
        <v/>
      </c>
    </row>
    <row r="10" spans="2:10">
      <c r="B10" s="1">
        <f>Flow_Model!A5</f>
        <v>46027</v>
      </c>
      <c r="C10">
        <f>Flow_Model!B5</f>
        <v>-733.3</v>
      </c>
      <c r="D10">
        <f>Flow_Model!C5</f>
        <v>779.7</v>
      </c>
      <c r="E10">
        <f>IFERROR(_xlfn.XLOOKUP(B10,'Nifty 50 Historical Data'!A:A,'Nifty 50 Historical Data'!B:B),"")</f>
        <v>26250.3</v>
      </c>
    </row>
    <row r="11" spans="2:10">
      <c r="B11" s="1">
        <f>Flow_Model!A6</f>
        <v>46028</v>
      </c>
      <c r="C11">
        <f>Flow_Model!B6</f>
        <v>-3622.57</v>
      </c>
      <c r="D11">
        <f>Flow_Model!C6</f>
        <v>3347.9</v>
      </c>
      <c r="E11">
        <f>IFERROR(_xlfn.XLOOKUP(B11,'Nifty 50 Historical Data'!A:A,'Nifty 50 Historical Data'!B:B),"")</f>
        <v>26178.7</v>
      </c>
    </row>
    <row r="12" spans="2:10">
      <c r="B12" s="1">
        <f>Flow_Model!A7</f>
        <v>46029</v>
      </c>
      <c r="C12">
        <f>Flow_Model!B7</f>
        <v>-1768.06</v>
      </c>
      <c r="D12">
        <f>Flow_Model!C7</f>
        <v>-372.19000000000005</v>
      </c>
      <c r="E12">
        <f>IFERROR(_xlfn.XLOOKUP(B12,'Nifty 50 Historical Data'!A:A,'Nifty 50 Historical Data'!B:B),"")</f>
        <v>26140.75</v>
      </c>
    </row>
    <row r="13" spans="2:10">
      <c r="B13" s="1">
        <f>Flow_Model!A8</f>
        <v>46030</v>
      </c>
      <c r="C13">
        <f>Flow_Model!B8</f>
        <v>688.41000000000008</v>
      </c>
      <c r="D13">
        <f>Flow_Model!C8</f>
        <v>-1471.1599999999999</v>
      </c>
      <c r="E13">
        <f>IFERROR(_xlfn.XLOOKUP(B13,'Nifty 50 Historical Data'!A:A,'Nifty 50 Historical Data'!B:B),"")</f>
        <v>25876.85</v>
      </c>
    </row>
    <row r="14" spans="2:10">
      <c r="B14" s="1">
        <f>Flow_Model!A9</f>
        <v>46031</v>
      </c>
      <c r="C14">
        <f>Flow_Model!B9</f>
        <v>-1508.4699999999998</v>
      </c>
      <c r="D14">
        <f>Flow_Model!C9</f>
        <v>-452.34000000000003</v>
      </c>
      <c r="E14">
        <f>IFERROR(_xlfn.XLOOKUP(B14,'Nifty 50 Historical Data'!A:A,'Nifty 50 Historical Data'!B:B),"")</f>
        <v>25683.3</v>
      </c>
    </row>
    <row r="15" spans="2:10">
      <c r="B15" s="1">
        <f>Flow_Model!A10</f>
        <v>46034</v>
      </c>
      <c r="C15">
        <f>Flow_Model!B10</f>
        <v>-1801.5</v>
      </c>
      <c r="D15">
        <f>Flow_Model!C10</f>
        <v>929.8599999999999</v>
      </c>
      <c r="E15">
        <f>IFERROR(_xlfn.XLOOKUP(B15,'Nifty 50 Historical Data'!A:A,'Nifty 50 Historical Data'!B:B),"")</f>
        <v>25790.25</v>
      </c>
    </row>
    <row r="16" spans="2:10">
      <c r="B16" s="1">
        <f>Flow_Model!A11</f>
        <v>46035</v>
      </c>
      <c r="C16">
        <f>Flow_Model!B11</f>
        <v>1150.5900000000001</v>
      </c>
      <c r="D16">
        <f>Flow_Model!C11</f>
        <v>-2409.5800000000004</v>
      </c>
      <c r="E16">
        <f>IFERROR(_xlfn.XLOOKUP(B16,'Nifty 50 Historical Data'!A:A,'Nifty 50 Historical Data'!B:B),"")</f>
        <v>25732.3</v>
      </c>
    </row>
    <row r="17" spans="2:5">
      <c r="B17" s="1">
        <f>Flow_Model!A12</f>
        <v>46036</v>
      </c>
      <c r="C17">
        <f>Flow_Model!B12</f>
        <v>435.56999999999994</v>
      </c>
      <c r="D17">
        <f>Flow_Model!C12</f>
        <v>-3322.44</v>
      </c>
      <c r="E17">
        <f>IFERROR(_xlfn.XLOOKUP(B17,'Nifty 50 Historical Data'!A:A,'Nifty 50 Historical Data'!B:B),"")</f>
        <v>25665.599999999999</v>
      </c>
    </row>
    <row r="18" spans="2:5">
      <c r="B18" s="1">
        <f>Flow_Model!A13</f>
        <v>46037</v>
      </c>
      <c r="C18">
        <f>Flow_Model!B13</f>
        <v>-2230.1999999999998</v>
      </c>
      <c r="D18">
        <f>Flow_Model!C13</f>
        <v>-1759.25</v>
      </c>
      <c r="E18" t="str">
        <f>IFERROR(_xlfn.XLOOKUP(B18,'Nifty 50 Historical Data'!A:A,'Nifty 50 Historical Data'!B:B),"")</f>
        <v/>
      </c>
    </row>
    <row r="19" spans="2:5">
      <c r="B19" s="1">
        <f>Flow_Model!A14</f>
        <v>46038</v>
      </c>
      <c r="C19">
        <f>Flow_Model!B14</f>
        <v>-1653.04</v>
      </c>
      <c r="D19">
        <f>Flow_Model!C14</f>
        <v>-236.68000000000006</v>
      </c>
      <c r="E19">
        <f>IFERROR(_xlfn.XLOOKUP(B19,'Nifty 50 Historical Data'!A:A,'Nifty 50 Historical Data'!B:B),"")</f>
        <v>25694.35</v>
      </c>
    </row>
    <row r="20" spans="2:5">
      <c r="B20" s="1">
        <f>Flow_Model!A15</f>
        <v>46041</v>
      </c>
      <c r="C20">
        <f>Flow_Model!B15</f>
        <v>-228.07999999999998</v>
      </c>
      <c r="D20">
        <f>Flow_Model!C15</f>
        <v>2934.5600000000004</v>
      </c>
      <c r="E20">
        <f>IFERROR(_xlfn.XLOOKUP(B20,'Nifty 50 Historical Data'!A:A,'Nifty 50 Historical Data'!B:B),"")</f>
        <v>25585.5</v>
      </c>
    </row>
    <row r="21" spans="2:5">
      <c r="B21" s="1">
        <f>Flow_Model!A16</f>
        <v>46042</v>
      </c>
      <c r="C21">
        <f>Flow_Model!B16</f>
        <v>-362.41999999999985</v>
      </c>
      <c r="D21">
        <f>Flow_Model!C16</f>
        <v>-1119.5500000000002</v>
      </c>
      <c r="E21">
        <f>IFERROR(_xlfn.XLOOKUP(B21,'Nifty 50 Historical Data'!A:A,'Nifty 50 Historical Data'!B:B),"")</f>
        <v>25232.5</v>
      </c>
    </row>
    <row r="22" spans="2:5">
      <c r="B22" s="1">
        <f>Flow_Model!A17</f>
        <v>46043</v>
      </c>
      <c r="C22">
        <f>Flow_Model!B17</f>
        <v>-2813.09</v>
      </c>
      <c r="D22">
        <f>Flow_Model!C17</f>
        <v>2840.95</v>
      </c>
      <c r="E22">
        <f>IFERROR(_xlfn.XLOOKUP(B22,'Nifty 50 Historical Data'!A:A,'Nifty 50 Historical Data'!B:B),"")</f>
        <v>25157.5</v>
      </c>
    </row>
    <row r="23" spans="2:5">
      <c r="B23" s="1">
        <f>Flow_Model!A18</f>
        <v>46044</v>
      </c>
      <c r="C23">
        <f>Flow_Model!B18</f>
        <v>-1521.72</v>
      </c>
      <c r="D23">
        <f>Flow_Model!C18</f>
        <v>-2912.2000000000003</v>
      </c>
      <c r="E23">
        <f>IFERROR(_xlfn.XLOOKUP(B23,'Nifty 50 Historical Data'!A:A,'Nifty 50 Historical Data'!B:B),"")</f>
        <v>25289.9</v>
      </c>
    </row>
    <row r="24" spans="2:5">
      <c r="B24" s="1">
        <f>Flow_Model!A19</f>
        <v>46045</v>
      </c>
      <c r="C24">
        <f>Flow_Model!B19</f>
        <v>-802.91</v>
      </c>
      <c r="D24">
        <f>Flow_Model!C19</f>
        <v>704.78</v>
      </c>
      <c r="E24">
        <f>IFERROR(_xlfn.XLOOKUP(B24,'Nifty 50 Historical Data'!A:A,'Nifty 50 Historical Data'!B:B),"")</f>
        <v>25048.65</v>
      </c>
    </row>
    <row r="25" spans="2:5">
      <c r="B25" s="1">
        <f>Flow_Model!A20</f>
        <v>46049</v>
      </c>
      <c r="C25">
        <f>Flow_Model!B20</f>
        <v>722.96</v>
      </c>
      <c r="D25">
        <f>Flow_Model!C20</f>
        <v>-1053.5</v>
      </c>
      <c r="E25">
        <f>IFERROR(_xlfn.XLOOKUP(B25,'Nifty 50 Historical Data'!A:A,'Nifty 50 Historical Data'!B:B),"")</f>
        <v>25175.4</v>
      </c>
    </row>
    <row r="26" spans="2:5">
      <c r="B26" s="1">
        <f>Flow_Model!A21</f>
        <v>46050</v>
      </c>
      <c r="C26">
        <f>Flow_Model!B21</f>
        <v>1613.1</v>
      </c>
      <c r="D26">
        <f>Flow_Model!C21</f>
        <v>-587.46000000000026</v>
      </c>
      <c r="E26">
        <f>IFERROR(_xlfn.XLOOKUP(B26,'Nifty 50 Historical Data'!A:A,'Nifty 50 Historical Data'!B:B),"")</f>
        <v>25342.75</v>
      </c>
    </row>
    <row r="27" spans="2:5">
      <c r="B27" s="1">
        <f>Flow_Model!A22</f>
        <v>46051</v>
      </c>
      <c r="C27">
        <f>Flow_Model!B22</f>
        <v>975.46</v>
      </c>
      <c r="D27">
        <f>Flow_Model!C22</f>
        <v>113.58999999999986</v>
      </c>
      <c r="E27">
        <f>IFERROR(_xlfn.XLOOKUP(B27,'Nifty 50 Historical Data'!A:A,'Nifty 50 Historical Data'!B:B),"")</f>
        <v>25418.9</v>
      </c>
    </row>
    <row r="28" spans="2:5">
      <c r="B28" s="1">
        <f>Flow_Model!A23</f>
        <v>46052</v>
      </c>
      <c r="C28">
        <f>Flow_Model!B23</f>
        <v>1093.24</v>
      </c>
      <c r="D28">
        <f>Flow_Model!C23</f>
        <v>193.32000000000016</v>
      </c>
      <c r="E28">
        <f>IFERROR(_xlfn.XLOOKUP(B28,'Nifty 50 Historical Data'!A:A,'Nifty 50 Historical Data'!B:B),"")</f>
        <v>25320.65</v>
      </c>
    </row>
    <row r="29" spans="2:5">
      <c r="B29" s="1">
        <f>Flow_Model!A24</f>
        <v>46054</v>
      </c>
      <c r="C29">
        <f>Flow_Model!B24</f>
        <v>0</v>
      </c>
      <c r="D29">
        <f>Flow_Model!C24</f>
        <v>-2036.44</v>
      </c>
      <c r="E29">
        <f>IFERROR(_xlfn.XLOOKUP(B29,'Nifty 50 Historical Data'!A:A,'Nifty 50 Historical Data'!B:B),"")</f>
        <v>24825.45</v>
      </c>
    </row>
    <row r="30" spans="2:5">
      <c r="B30" s="1">
        <f>Flow_Model!A25</f>
        <v>46055</v>
      </c>
      <c r="C30">
        <f>Flow_Model!B25</f>
        <v>287.40000000000009</v>
      </c>
      <c r="D30">
        <f>Flow_Model!C25</f>
        <v>1995.15</v>
      </c>
      <c r="E30">
        <f>IFERROR(_xlfn.XLOOKUP(B30,'Nifty 50 Historical Data'!A:A,'Nifty 50 Historical Data'!B:B),"")</f>
        <v>25088.400000000001</v>
      </c>
    </row>
    <row r="31" spans="2:5">
      <c r="B31" s="1">
        <f>Flow_Model!A26</f>
        <v>46056</v>
      </c>
      <c r="C31">
        <f>Flow_Model!B26</f>
        <v>-880.88</v>
      </c>
      <c r="D31">
        <f>Flow_Model!C26</f>
        <v>1029.73</v>
      </c>
      <c r="E31">
        <f>IFERROR(_xlfn.XLOOKUP(B31,'Nifty 50 Historical Data'!A:A,'Nifty 50 Historical Data'!B:B),"")</f>
        <v>25727.55</v>
      </c>
    </row>
    <row r="32" spans="2:5">
      <c r="B32" s="1">
        <f>Flow_Model!A27</f>
        <v>46057</v>
      </c>
      <c r="C32">
        <f>Flow_Model!B27</f>
        <v>-434.18000000000006</v>
      </c>
      <c r="D32">
        <f>Flow_Model!C27</f>
        <v>4713.66</v>
      </c>
      <c r="E32">
        <f>IFERROR(_xlfn.XLOOKUP(B32,'Nifty 50 Historical Data'!A:A,'Nifty 50 Historical Data'!B:B),"")</f>
        <v>25776</v>
      </c>
    </row>
    <row r="33" spans="2:5">
      <c r="B33" s="1">
        <f>Flow_Model!A28</f>
        <v>46058</v>
      </c>
      <c r="C33">
        <f>Flow_Model!B28</f>
        <v>-535.83000000000004</v>
      </c>
      <c r="D33">
        <f>Flow_Model!C28</f>
        <v>-55.55</v>
      </c>
      <c r="E33">
        <f>IFERROR(_xlfn.XLOOKUP(B33,'Nifty 50 Historical Data'!A:A,'Nifty 50 Historical Data'!B:B),"")</f>
        <v>25642.799999999999</v>
      </c>
    </row>
    <row r="34" spans="2:5">
      <c r="B34" s="1">
        <f>Flow_Model!A29</f>
        <v>46059</v>
      </c>
      <c r="C34">
        <f>Flow_Model!B29</f>
        <v>-3718.5300000000007</v>
      </c>
      <c r="D34">
        <f>Flow_Model!C29</f>
        <v>-275.18</v>
      </c>
      <c r="E34">
        <f>IFERROR(_xlfn.XLOOKUP(B34,'Nifty 50 Historical Data'!A:A,'Nifty 50 Historical Data'!B:B),"")</f>
        <v>25693.7</v>
      </c>
    </row>
    <row r="35" spans="2:5">
      <c r="B35" s="1">
        <f>Flow_Model!A30</f>
        <v>46062</v>
      </c>
      <c r="C35">
        <f>Flow_Model!B30</f>
        <v>707.17</v>
      </c>
      <c r="D35">
        <f>Flow_Model!C30</f>
        <v>2037.52</v>
      </c>
      <c r="E35">
        <f>IFERROR(_xlfn.XLOOKUP(B35,'Nifty 50 Historical Data'!A:A,'Nifty 50 Historical Data'!B:B),"")</f>
        <v>25867.3</v>
      </c>
    </row>
    <row r="36" spans="2:5">
      <c r="B36" s="1">
        <f>Flow_Model!A31</f>
        <v>46063</v>
      </c>
      <c r="C36">
        <f>Flow_Model!B31</f>
        <v>-871.08</v>
      </c>
      <c r="D36">
        <f>Flow_Model!C31</f>
        <v>1950.44</v>
      </c>
      <c r="E36">
        <f>IFERROR(_xlfn.XLOOKUP(B36,'Nifty 50 Historical Data'!A:A,'Nifty 50 Historical Data'!B:B),"")</f>
        <v>25935.15</v>
      </c>
    </row>
    <row r="37" spans="2:5">
      <c r="B37" s="1">
        <f>Flow_Model!A32</f>
        <v>46064</v>
      </c>
      <c r="C37">
        <f>Flow_Model!B32</f>
        <v>-1084.28</v>
      </c>
      <c r="D37">
        <f>Flow_Model!C32</f>
        <v>1160.45</v>
      </c>
      <c r="E37">
        <f>IFERROR(_xlfn.XLOOKUP(B37,'Nifty 50 Historical Data'!A:A,'Nifty 50 Historical Data'!B:B),"")</f>
        <v>25953.85</v>
      </c>
    </row>
    <row r="38" spans="2:5">
      <c r="B38" s="1">
        <f>Flow_Model!A33</f>
        <v>46065</v>
      </c>
      <c r="C38">
        <f>Flow_Model!B33</f>
        <v>4387.25</v>
      </c>
      <c r="D38">
        <f>Flow_Model!C33</f>
        <v>-210.40999999999997</v>
      </c>
      <c r="E38">
        <f>IFERROR(_xlfn.XLOOKUP(B38,'Nifty 50 Historical Data'!A:A,'Nifty 50 Historical Data'!B:B),"")</f>
        <v>25807.200000000001</v>
      </c>
    </row>
    <row r="39" spans="2:5">
      <c r="B39" s="1">
        <f>Flow_Model!A34</f>
        <v>46066</v>
      </c>
      <c r="C39">
        <f>Flow_Model!B34</f>
        <v>-3033.88</v>
      </c>
      <c r="D39">
        <f>Flow_Model!C34</f>
        <v>846.59999999999991</v>
      </c>
      <c r="E39">
        <f>IFERROR(_xlfn.XLOOKUP(B39,'Nifty 50 Historical Data'!A:A,'Nifty 50 Historical Data'!B:B),"")</f>
        <v>25471.1</v>
      </c>
    </row>
    <row r="40" spans="2:5">
      <c r="B40" s="1">
        <f>Flow_Model!A35</f>
        <v>46069</v>
      </c>
      <c r="C40">
        <f>Flow_Model!B35</f>
        <v>927.28</v>
      </c>
      <c r="D40">
        <f>Flow_Model!C35</f>
        <v>-1609.9700000000003</v>
      </c>
      <c r="E40">
        <f>IFERROR(_xlfn.XLOOKUP(B40,'Nifty 50 Historical Data'!A:A,'Nifty 50 Historical Data'!B:B),"")</f>
        <v>25682.75</v>
      </c>
    </row>
    <row r="41" spans="2:5">
      <c r="B41" s="1">
        <f>Flow_Model!A36</f>
        <v>46070</v>
      </c>
      <c r="C41">
        <f>Flow_Model!B36</f>
        <v>2225.5100000000002</v>
      </c>
      <c r="D41">
        <f>Flow_Model!C36</f>
        <v>1401.0100000000002</v>
      </c>
      <c r="E41">
        <f>IFERROR(_xlfn.XLOOKUP(B41,'Nifty 50 Historical Data'!A:A,'Nifty 50 Historical Data'!B:B),"")</f>
        <v>25725.4</v>
      </c>
    </row>
    <row r="42" spans="2:5">
      <c r="B42" s="1">
        <f>Flow_Model!A37</f>
        <v>46071</v>
      </c>
      <c r="C42">
        <f>Flow_Model!B37</f>
        <v>-3043.95</v>
      </c>
      <c r="D42">
        <f>Flow_Model!C37</f>
        <v>-924.85</v>
      </c>
      <c r="E42">
        <f>IFERROR(_xlfn.XLOOKUP(B42,'Nifty 50 Historical Data'!A:A,'Nifty 50 Historical Data'!B:B),"")</f>
        <v>25819.35</v>
      </c>
    </row>
    <row r="43" spans="2:5">
      <c r="B43" s="1">
        <f>Flow_Model!A38</f>
        <v>46072</v>
      </c>
      <c r="C43">
        <f>Flow_Model!B38</f>
        <v>1004.28</v>
      </c>
      <c r="D43">
        <f>Flow_Model!C38</f>
        <v>-234.1</v>
      </c>
      <c r="E43">
        <f>IFERROR(_xlfn.XLOOKUP(B43,'Nifty 50 Historical Data'!A:A,'Nifty 50 Historical Data'!B:B),"")</f>
        <v>25454.35</v>
      </c>
    </row>
    <row r="44" spans="2:5">
      <c r="B44" s="1">
        <f>Flow_Model!A39</f>
        <v>46073</v>
      </c>
      <c r="C44">
        <f>Flow_Model!B39</f>
        <v>-771.64</v>
      </c>
      <c r="D44">
        <f>Flow_Model!C39</f>
        <v>3222.69</v>
      </c>
      <c r="E44">
        <f>IFERROR(_xlfn.XLOOKUP(B44,'Nifty 50 Historical Data'!A:A,'Nifty 50 Historical Data'!B:B),"")</f>
        <v>25571.25</v>
      </c>
    </row>
    <row r="45" spans="2:5">
      <c r="B45" s="1">
        <f>Flow_Model!A40</f>
        <v>46076</v>
      </c>
      <c r="C45">
        <f>Flow_Model!B40</f>
        <v>1626.15</v>
      </c>
      <c r="D45">
        <f>Flow_Model!C40</f>
        <v>-853.56999999999971</v>
      </c>
      <c r="E45">
        <f>IFERROR(_xlfn.XLOOKUP(B45,'Nifty 50 Historical Data'!A:A,'Nifty 50 Historical Data'!B:B),"")</f>
        <v>25713</v>
      </c>
    </row>
    <row r="46" spans="2:5">
      <c r="B46" s="1">
        <f>Flow_Model!A41</f>
        <v>46077</v>
      </c>
      <c r="C46">
        <f>Flow_Model!B41</f>
        <v>2362.14</v>
      </c>
      <c r="D46">
        <f>Flow_Model!C41</f>
        <v>-2068.19</v>
      </c>
      <c r="E46">
        <f>IFERROR(_xlfn.XLOOKUP(B46,'Nifty 50 Historical Data'!A:A,'Nifty 50 Historical Data'!B:B),"")</f>
        <v>25424.65</v>
      </c>
    </row>
    <row r="47" spans="2:5">
      <c r="B47" s="1">
        <f>Flow_Model!A42</f>
        <v>46078</v>
      </c>
      <c r="C47">
        <f>Flow_Model!B42</f>
        <v>3258.4300000000003</v>
      </c>
      <c r="D47">
        <f>Flow_Model!C42</f>
        <v>1353.33</v>
      </c>
      <c r="E47">
        <f>IFERROR(_xlfn.XLOOKUP(B47,'Nifty 50 Historical Data'!A:A,'Nifty 50 Historical Data'!B:B),"")</f>
        <v>25482.5</v>
      </c>
    </row>
    <row r="48" spans="2:5">
      <c r="B48" s="1">
        <f>Flow_Model!A43</f>
        <v>46079</v>
      </c>
      <c r="C48">
        <f>Flow_Model!B43</f>
        <v>1.8899999999999864</v>
      </c>
      <c r="D48">
        <f>Flow_Model!C43</f>
        <v>-2523.75</v>
      </c>
      <c r="E48">
        <f>IFERROR(_xlfn.XLOOKUP(B48,'Nifty 50 Historical Data'!A:A,'Nifty 50 Historical Data'!B:B),"")</f>
        <v>25496.55</v>
      </c>
    </row>
    <row r="49" spans="2:5">
      <c r="B49" s="1">
        <f>Flow_Model!A44</f>
        <v>46080</v>
      </c>
      <c r="C49">
        <f>Flow_Model!B44</f>
        <v>-179.63999999999996</v>
      </c>
      <c r="D49">
        <f>Flow_Model!C44</f>
        <v>3771.8599999999997</v>
      </c>
      <c r="E49">
        <f>IFERROR(_xlfn.XLOOKUP(B49,'Nifty 50 Historical Data'!A:A,'Nifty 50 Historical Data'!B:B),"")</f>
        <v>25178.65</v>
      </c>
    </row>
    <row r="50" spans="2:5">
      <c r="B50" s="1">
        <f>Flow_Model!A45</f>
        <v>46083</v>
      </c>
      <c r="C50">
        <f>Flow_Model!B45</f>
        <v>-443.99999999999989</v>
      </c>
      <c r="D50">
        <f>Flow_Model!C45</f>
        <v>-1850.4999999999998</v>
      </c>
      <c r="E50">
        <f>IFERROR(_xlfn.XLOOKUP(B50,'Nifty 50 Historical Data'!A:A,'Nifty 50 Historical Data'!B:B),"")</f>
        <v>24865.7</v>
      </c>
    </row>
    <row r="51" spans="2:5">
      <c r="B51" s="1">
        <f>Flow_Model!A46</f>
        <v>46084</v>
      </c>
      <c r="C51">
        <f>Flow_Model!B46</f>
        <v>-59.149999999999977</v>
      </c>
      <c r="D51">
        <f>Flow_Model!C46</f>
        <v>1816.7399999999996</v>
      </c>
      <c r="E51" t="str">
        <f>IFERROR(_xlfn.XLOOKUP(B51,'Nifty 50 Historical Data'!A:A,'Nifty 50 Historical Data'!B:B),"")</f>
        <v/>
      </c>
    </row>
    <row r="52" spans="2:5">
      <c r="B52" s="1">
        <f>Flow_Model!A47</f>
        <v>46086</v>
      </c>
      <c r="C52">
        <f>Flow_Model!B47</f>
        <v>279.2399999999999</v>
      </c>
      <c r="D52">
        <f>Flow_Model!C47</f>
        <v>-2027.96</v>
      </c>
      <c r="E52">
        <f>IFERROR(_xlfn.XLOOKUP(B52,'Nifty 50 Historical Data'!A:A,'Nifty 50 Historical Data'!B:B),"")</f>
        <v>24765.9</v>
      </c>
    </row>
    <row r="53" spans="2:5">
      <c r="B53" s="1">
        <f>Flow_Model!A48</f>
        <v>46087</v>
      </c>
      <c r="C53">
        <f>Flow_Model!B48</f>
        <v>3561.08</v>
      </c>
      <c r="D53">
        <f>Flow_Model!C48</f>
        <v>-1380.9</v>
      </c>
      <c r="E53">
        <f>IFERROR(_xlfn.XLOOKUP(B53,'Nifty 50 Historical Data'!A:A,'Nifty 50 Historical Data'!B:B),"")</f>
        <v>24450.45</v>
      </c>
    </row>
    <row r="54" spans="2:5">
      <c r="B54" s="1">
        <f>Flow_Model!A49</f>
        <v>46090</v>
      </c>
      <c r="C54">
        <f>Flow_Model!B49</f>
        <v>463.18000000000006</v>
      </c>
      <c r="D54">
        <f>Flow_Model!C49</f>
        <v>334.6</v>
      </c>
      <c r="E54">
        <f>IFERROR(_xlfn.XLOOKUP(B54,'Nifty 50 Historical Data'!A:A,'Nifty 50 Historical Data'!B:B),"")</f>
        <v>24028.05</v>
      </c>
    </row>
    <row r="55" spans="2:5">
      <c r="B55" s="1">
        <f>Flow_Model!A50</f>
        <v>46091</v>
      </c>
      <c r="C55">
        <f>Flow_Model!B50</f>
        <v>2768.79</v>
      </c>
      <c r="D55">
        <f>Flow_Model!C50</f>
        <v>-2019.3600000000001</v>
      </c>
      <c r="E55">
        <f>IFERROR(_xlfn.XLOOKUP(B55,'Nifty 50 Historical Data'!A:A,'Nifty 50 Historical Data'!B:B),"")</f>
        <v>24261.599999999999</v>
      </c>
    </row>
    <row r="56" spans="2:5">
      <c r="B56" s="1">
        <f>Flow_Model!A51</f>
        <v>46092</v>
      </c>
      <c r="C56">
        <f>Flow_Model!B51</f>
        <v>-648.81000000000006</v>
      </c>
      <c r="D56">
        <f>Flow_Model!C51</f>
        <v>2698.8199999999997</v>
      </c>
      <c r="E56">
        <f>IFERROR(_xlfn.XLOOKUP(B56,'Nifty 50 Historical Data'!A:A,'Nifty 50 Historical Data'!B:B),"")</f>
        <v>23866.85</v>
      </c>
    </row>
    <row r="57" spans="2:5">
      <c r="B57" s="1">
        <f>Flow_Model!A52</f>
        <v>46093</v>
      </c>
      <c r="C57">
        <f>Flow_Model!B52</f>
        <v>1715.8899999999999</v>
      </c>
      <c r="D57">
        <f>Flow_Model!C52</f>
        <v>693</v>
      </c>
      <c r="E57">
        <f>IFERROR(_xlfn.XLOOKUP(B57,'Nifty 50 Historical Data'!A:A,'Nifty 50 Historical Data'!B:B),"")</f>
        <v>23639.15</v>
      </c>
    </row>
    <row r="58" spans="2:5">
      <c r="B58" s="1">
        <f>Flow_Model!A53</f>
        <v>46094</v>
      </c>
      <c r="C58">
        <f>Flow_Model!B53</f>
        <v>2031.44</v>
      </c>
      <c r="D58">
        <f>Flow_Model!C53</f>
        <v>2193.81</v>
      </c>
      <c r="E58">
        <f>IFERROR(_xlfn.XLOOKUP(B58,'Nifty 50 Historical Data'!A:A,'Nifty 50 Historical Data'!B:B),"")</f>
        <v>23151.1</v>
      </c>
    </row>
    <row r="59" spans="2:5">
      <c r="B59" s="1">
        <f>Flow_Model!A54</f>
        <v>46097</v>
      </c>
      <c r="C59">
        <f>Flow_Model!B54</f>
        <v>-2893.48</v>
      </c>
      <c r="D59">
        <f>Flow_Model!C54</f>
        <v>-3683.5699999999997</v>
      </c>
      <c r="E59">
        <f>IFERROR(_xlfn.XLOOKUP(B59,'Nifty 50 Historical Data'!A:A,'Nifty 50 Historical Data'!B:B),"")</f>
        <v>23408.799999999999</v>
      </c>
    </row>
    <row r="60" spans="2:5">
      <c r="B60" s="1">
        <f>Flow_Model!A55</f>
        <v>46098</v>
      </c>
      <c r="C60">
        <f>Flow_Model!B55</f>
        <v>-2815.8899999999994</v>
      </c>
      <c r="D60">
        <f>Flow_Model!C55</f>
        <v>-701.6</v>
      </c>
      <c r="E60">
        <f>IFERROR(_xlfn.XLOOKUP(B60,'Nifty 50 Historical Data'!A:A,'Nifty 50 Historical Data'!B:B),"")</f>
        <v>23581.15</v>
      </c>
    </row>
    <row r="61" spans="2:5">
      <c r="B61" s="1">
        <f>Flow_Model!A56</f>
        <v>46099</v>
      </c>
      <c r="C61">
        <f>Flow_Model!B56</f>
        <v>-857.15000000000009</v>
      </c>
      <c r="D61">
        <f>Flow_Model!C56</f>
        <v>1074.08</v>
      </c>
      <c r="E61">
        <f>IFERROR(_xlfn.XLOOKUP(B61,'Nifty 50 Historical Data'!A:A,'Nifty 50 Historical Data'!B:B),"")</f>
        <v>23777.8</v>
      </c>
    </row>
    <row r="62" spans="2:5">
      <c r="B62" s="1">
        <f>Flow_Model!A57</f>
        <v>46100</v>
      </c>
      <c r="C62">
        <f>Flow_Model!B57</f>
        <v>201.79000000000019</v>
      </c>
      <c r="D62">
        <f>Flow_Model!C57</f>
        <v>2579.0699999999997</v>
      </c>
      <c r="E62">
        <f>IFERROR(_xlfn.XLOOKUP(B62,'Nifty 50 Historical Data'!A:A,'Nifty 50 Historical Data'!B:B),"")</f>
        <v>23002.15</v>
      </c>
    </row>
    <row r="63" spans="2:5">
      <c r="B63" s="1">
        <f>Flow_Model!A58</f>
        <v>46101</v>
      </c>
      <c r="C63">
        <f>Flow_Model!B58</f>
        <v>-2869.5000000000005</v>
      </c>
      <c r="D63">
        <f>Flow_Model!C58</f>
        <v>1680.5099999999998</v>
      </c>
      <c r="E63">
        <f>IFERROR(_xlfn.XLOOKUP(B63,'Nifty 50 Historical Data'!A:A,'Nifty 50 Historical Data'!B:B),"")</f>
        <v>23114.5</v>
      </c>
    </row>
    <row r="64" spans="2:5">
      <c r="B64" s="1">
        <f>Flow_Model!A59</f>
        <v>46104</v>
      </c>
      <c r="C64">
        <f>Flow_Model!B59</f>
        <v>406.62</v>
      </c>
      <c r="D64">
        <f>Flow_Model!C59</f>
        <v>510.03999999999996</v>
      </c>
      <c r="E64">
        <f>IFERROR(_xlfn.XLOOKUP(B64,'Nifty 50 Historical Data'!A:A,'Nifty 50 Historical Data'!B:B),"")</f>
        <v>22512.65</v>
      </c>
    </row>
    <row r="65" spans="2:5">
      <c r="B65" s="1">
        <f>Flow_Model!A60</f>
        <v>46105</v>
      </c>
      <c r="C65">
        <f>Flow_Model!B60</f>
        <v>3031.2</v>
      </c>
      <c r="D65">
        <f>Flow_Model!C60</f>
        <v>1321</v>
      </c>
      <c r="E65">
        <f>IFERROR(_xlfn.XLOOKUP(B65,'Nifty 50 Historical Data'!A:A,'Nifty 50 Historical Data'!B:B),"")</f>
        <v>22912.400000000001</v>
      </c>
    </row>
    <row r="66" spans="2:5">
      <c r="B66" s="1">
        <f>Flow_Model!A61</f>
        <v>46106</v>
      </c>
      <c r="C66">
        <f>Flow_Model!B61</f>
        <v>-346.42999999999989</v>
      </c>
      <c r="D66">
        <f>Flow_Model!C61</f>
        <v>-1773.7600000000002</v>
      </c>
      <c r="E66">
        <f>IFERROR(_xlfn.XLOOKUP(B66,'Nifty 50 Historical Data'!A:A,'Nifty 50 Historical Data'!B:B),"")</f>
        <v>23306.45</v>
      </c>
    </row>
    <row r="67" spans="2:5">
      <c r="B67" s="1">
        <f>Flow_Model!A62</f>
        <v>46107</v>
      </c>
      <c r="C67">
        <f>Flow_Model!B62</f>
        <v>-1181.76</v>
      </c>
      <c r="D67">
        <f>Flow_Model!C62</f>
        <v>-3565.34</v>
      </c>
      <c r="E67" t="str">
        <f>IFERROR(_xlfn.XLOOKUP(B67,'Nifty 50 Historical Data'!A:A,'Nifty 50 Historical Data'!B:B),"")</f>
        <v/>
      </c>
    </row>
    <row r="68" spans="2:5">
      <c r="B68" s="1">
        <f>Flow_Model!A63</f>
        <v>46108</v>
      </c>
      <c r="C68">
        <f>Flow_Model!B63</f>
        <v>457.11</v>
      </c>
      <c r="D68">
        <f>Flow_Model!C63</f>
        <v>773.81000000000006</v>
      </c>
      <c r="E68">
        <f>IFERROR(_xlfn.XLOOKUP(B68,'Nifty 50 Historical Data'!A:A,'Nifty 50 Historical Data'!B:B),"")</f>
        <v>22819.599999999999</v>
      </c>
    </row>
    <row r="69" spans="2:5">
      <c r="B69" s="1">
        <f>Flow_Model!A64</f>
        <v>46111</v>
      </c>
      <c r="C69">
        <f>Flow_Model!B64</f>
        <v>-472.34000000000003</v>
      </c>
      <c r="D69">
        <f>Flow_Model!C64</f>
        <v>-126.50999999999999</v>
      </c>
      <c r="E69">
        <f>IFERROR(_xlfn.XLOOKUP(B69,'Nifty 50 Historical Data'!A:A,'Nifty 50 Historical Data'!B:B),"")</f>
        <v>22331.4</v>
      </c>
    </row>
    <row r="70" spans="2:5">
      <c r="B70" s="1">
        <f>Flow_Model!A65</f>
        <v>46112</v>
      </c>
      <c r="C70">
        <f>Flow_Model!B65</f>
        <v>1588.14</v>
      </c>
      <c r="D70">
        <f>Flow_Model!C65</f>
        <v>720.25999999999976</v>
      </c>
      <c r="E70" t="str">
        <f>IFERROR(_xlfn.XLOOKUP(B70,'Nifty 50 Historical Data'!A:A,'Nifty 50 Historical Data'!B:B),"")</f>
        <v/>
      </c>
    </row>
    <row r="71" spans="2:5">
      <c r="B71" s="1">
        <f>Flow_Model!A66</f>
        <v>46113</v>
      </c>
      <c r="C71">
        <f>Flow_Model!B66</f>
        <v>814.82999999999993</v>
      </c>
      <c r="D71">
        <f>Flow_Model!C66</f>
        <v>-2224.06</v>
      </c>
      <c r="E71">
        <f>IFERROR(_xlfn.XLOOKUP(B71,'Nifty 50 Historical Data'!A:A,'Nifty 50 Historical Data'!B:B),"")</f>
        <v>22679.4</v>
      </c>
    </row>
    <row r="72" spans="2:5">
      <c r="B72" s="1">
        <f>Flow_Model!A67</f>
        <v>46114</v>
      </c>
      <c r="C72">
        <f>Flow_Model!B67</f>
        <v>976.54999999999973</v>
      </c>
      <c r="D72">
        <f>Flow_Model!C67</f>
        <v>32.590000000000003</v>
      </c>
      <c r="E72">
        <f>IFERROR(_xlfn.XLOOKUP(B72,'Nifty 50 Historical Data'!A:A,'Nifty 50 Historical Data'!B:B),"")</f>
        <v>22713.1</v>
      </c>
    </row>
    <row r="73" spans="2:5">
      <c r="B73" s="1">
        <f>Flow_Model!A68</f>
        <v>46118</v>
      </c>
      <c r="C73">
        <f>Flow_Model!B68</f>
        <v>925.07999999999993</v>
      </c>
      <c r="D73">
        <f>Flow_Model!C68</f>
        <v>2744.8799999999997</v>
      </c>
      <c r="E73">
        <f>IFERROR(_xlfn.XLOOKUP(B73,'Nifty 50 Historical Data'!A:A,'Nifty 50 Historical Data'!B:B),"")</f>
        <v>22968.25</v>
      </c>
    </row>
    <row r="74" spans="2:5">
      <c r="B74" s="1">
        <f>Flow_Model!A69</f>
        <v>46119</v>
      </c>
      <c r="C74">
        <f>Flow_Model!B69</f>
        <v>3936.06</v>
      </c>
      <c r="D74">
        <f>Flow_Model!C69</f>
        <v>-109.78999999999985</v>
      </c>
      <c r="E74">
        <f>IFERROR(_xlfn.XLOOKUP(B74,'Nifty 50 Historical Data'!A:A,'Nifty 50 Historical Data'!B:B),"")</f>
        <v>23123.65</v>
      </c>
    </row>
    <row r="75" spans="2:5">
      <c r="B75" s="1">
        <f>Flow_Model!A70</f>
        <v>46120</v>
      </c>
      <c r="C75">
        <f>Flow_Model!B70</f>
        <v>359.6099999999999</v>
      </c>
      <c r="D75">
        <f>Flow_Model!C70</f>
        <v>3055.6800000000003</v>
      </c>
      <c r="E75">
        <f>IFERROR(_xlfn.XLOOKUP(B75,'Nifty 50 Historical Data'!A:A,'Nifty 50 Historical Data'!B:B),"")</f>
        <v>23997.35</v>
      </c>
    </row>
    <row r="76" spans="2:5">
      <c r="B76" s="1">
        <f>Flow_Model!A71</f>
        <v>46121</v>
      </c>
      <c r="C76">
        <f>Flow_Model!B71</f>
        <v>-1053.6199999999999</v>
      </c>
      <c r="D76">
        <f>Flow_Model!C71</f>
        <v>2153.7599999999998</v>
      </c>
      <c r="E76">
        <f>IFERROR(_xlfn.XLOOKUP(B76,'Nifty 50 Historical Data'!A:A,'Nifty 50 Historical Data'!B:B),"")</f>
        <v>23775.1</v>
      </c>
    </row>
    <row r="77" spans="2:5">
      <c r="B77" s="1">
        <f>Flow_Model!A72</f>
        <v>46122</v>
      </c>
      <c r="C77">
        <f>Flow_Model!B72</f>
        <v>282.28999999999996</v>
      </c>
      <c r="D77">
        <f>Flow_Model!C72</f>
        <v>-529.96</v>
      </c>
      <c r="E77">
        <f>IFERROR(_xlfn.XLOOKUP(B77,'Nifty 50 Historical Data'!A:A,'Nifty 50 Historical Data'!B:B),"")</f>
        <v>24050.6</v>
      </c>
    </row>
    <row r="78" spans="2:5">
      <c r="B78" s="1">
        <f>Flow_Model!A73</f>
        <v>46125</v>
      </c>
      <c r="C78">
        <f>Flow_Model!B73</f>
        <v>-679.66000000000008</v>
      </c>
      <c r="D78">
        <f>Flow_Model!C73</f>
        <v>-4018.2999999999997</v>
      </c>
      <c r="E78">
        <f>IFERROR(_xlfn.XLOOKUP(B78,'Nifty 50 Historical Data'!A:A,'Nifty 50 Historical Data'!B:B),"")</f>
        <v>23842.65</v>
      </c>
    </row>
    <row r="79" spans="2:5">
      <c r="B79" s="1">
        <f>Flow_Model!A74</f>
        <v>46127</v>
      </c>
      <c r="C79">
        <f>Flow_Model!B74</f>
        <v>1613.0400000000002</v>
      </c>
      <c r="D79">
        <f>Flow_Model!C74</f>
        <v>271.07999999999993</v>
      </c>
      <c r="E79">
        <f>IFERROR(_xlfn.XLOOKUP(B79,'Nifty 50 Historical Data'!A:A,'Nifty 50 Historical Data'!B:B),"")</f>
        <v>24231.3</v>
      </c>
    </row>
    <row r="80" spans="2:5">
      <c r="B80" s="1">
        <f>Flow_Model!A75</f>
        <v>46128</v>
      </c>
      <c r="C80">
        <f>Flow_Model!B75</f>
        <v>2624.03</v>
      </c>
      <c r="D80">
        <f>Flow_Model!C75</f>
        <v>374.62999999999988</v>
      </c>
      <c r="E80">
        <f>IFERROR(_xlfn.XLOOKUP(B80,'Nifty 50 Historical Data'!A:A,'Nifty 50 Historical Data'!B:B),"")</f>
        <v>24196.75</v>
      </c>
    </row>
    <row r="81" spans="2:5">
      <c r="B81" s="1">
        <f>Flow_Model!A76</f>
        <v>46129</v>
      </c>
      <c r="C81">
        <f>Flow_Model!B76</f>
        <v>259.33999999999997</v>
      </c>
      <c r="D81">
        <f>Flow_Model!C76</f>
        <v>304.99</v>
      </c>
      <c r="E81">
        <f>IFERROR(_xlfn.XLOOKUP(B81,'Nifty 50 Historical Data'!A:A,'Nifty 50 Historical Data'!B:B),"")</f>
        <v>24353.55</v>
      </c>
    </row>
    <row r="82" spans="2:5">
      <c r="B82" s="1">
        <f>Flow_Model!A77</f>
        <v>46132</v>
      </c>
      <c r="C82">
        <f>Flow_Model!B77</f>
        <v>-2587.6499999999996</v>
      </c>
      <c r="D82">
        <f>Flow_Model!C77</f>
        <v>1196.8900000000001</v>
      </c>
      <c r="E82">
        <f>IFERROR(_xlfn.XLOOKUP(B82,'Nifty 50 Historical Data'!A:A,'Nifty 50 Historical Data'!B:B),"")</f>
        <v>24364.85</v>
      </c>
    </row>
    <row r="83" spans="2:5">
      <c r="B83" s="1">
        <f>Flow_Model!A78</f>
        <v>46133</v>
      </c>
      <c r="C83">
        <f>Flow_Model!B78</f>
        <v>-1080.1499999999999</v>
      </c>
      <c r="D83">
        <f>Flow_Model!C78</f>
        <v>1599.49</v>
      </c>
      <c r="E83">
        <f>IFERROR(_xlfn.XLOOKUP(B83,'Nifty 50 Historical Data'!A:A,'Nifty 50 Historical Data'!B:B),"")</f>
        <v>24576.6</v>
      </c>
    </row>
    <row r="84" spans="2:5">
      <c r="B84" s="1">
        <f>Flow_Model!A79</f>
        <v>46134</v>
      </c>
      <c r="C84">
        <f>Flow_Model!B79</f>
        <v>-574.79999999999995</v>
      </c>
      <c r="D84">
        <f>Flow_Model!C79</f>
        <v>415.78999999999985</v>
      </c>
      <c r="E84">
        <f>IFERROR(_xlfn.XLOOKUP(B84,'Nifty 50 Historical Data'!A:A,'Nifty 50 Historical Data'!B:B),"")</f>
        <v>24378.1</v>
      </c>
    </row>
    <row r="85" spans="2:5">
      <c r="B85" s="1">
        <f>Flow_Model!A80</f>
        <v>46135</v>
      </c>
      <c r="C85">
        <f>Flow_Model!B80</f>
        <v>988.98999999999978</v>
      </c>
      <c r="D85">
        <f>Flow_Model!C80</f>
        <v>-120.35000000000002</v>
      </c>
      <c r="E85">
        <f>IFERROR(_xlfn.XLOOKUP(B85,'Nifty 50 Historical Data'!A:A,'Nifty 50 Historical Data'!B:B),"")</f>
        <v>24173.05</v>
      </c>
    </row>
    <row r="86" spans="2:5">
      <c r="B86" s="1">
        <f>Flow_Model!A81</f>
        <v>46136</v>
      </c>
      <c r="C86">
        <f>Flow_Model!B81</f>
        <v>-663.81</v>
      </c>
      <c r="D86">
        <f>Flow_Model!C81</f>
        <v>-2085.7199999999998</v>
      </c>
      <c r="E86">
        <f>IFERROR(_xlfn.XLOOKUP(B86,'Nifty 50 Historical Data'!A:A,'Nifty 50 Historical Data'!B:B),"")</f>
        <v>23897.95</v>
      </c>
    </row>
    <row r="87" spans="2:5">
      <c r="B87" s="1">
        <f>Flow_Model!A82</f>
        <v>46139</v>
      </c>
      <c r="C87">
        <f>Flow_Model!B82</f>
        <v>608.52</v>
      </c>
      <c r="D87">
        <f>Flow_Model!C82</f>
        <v>387.21000000000004</v>
      </c>
      <c r="E87">
        <f>IFERROR(_xlfn.XLOOKUP(B87,'Nifty 50 Historical Data'!A:A,'Nifty 50 Historical Data'!B:B),"")</f>
        <v>24092.7</v>
      </c>
    </row>
    <row r="88" spans="2:5">
      <c r="B88" s="1">
        <f>Flow_Model!A83</f>
        <v>46140</v>
      </c>
      <c r="C88">
        <f>Flow_Model!B83</f>
        <v>219.97000000000003</v>
      </c>
      <c r="D88">
        <f>Flow_Model!C83</f>
        <v>800.1</v>
      </c>
      <c r="E88">
        <f>IFERROR(_xlfn.XLOOKUP(B88,'Nifty 50 Historical Data'!A:A,'Nifty 50 Historical Data'!B:B),"")</f>
        <v>23995.7</v>
      </c>
    </row>
    <row r="89" spans="2:5">
      <c r="B89" s="1">
        <f>Flow_Model!A84</f>
        <v>46141</v>
      </c>
      <c r="C89">
        <f>Flow_Model!B84</f>
        <v>-296.42000000000013</v>
      </c>
      <c r="D89">
        <f>Flow_Model!C84</f>
        <v>-1903.1399999999999</v>
      </c>
      <c r="E89">
        <f>IFERROR(_xlfn.XLOOKUP(B89,'Nifty 50 Historical Data'!A:A,'Nifty 50 Historical Data'!B:B),"")</f>
        <v>24177.65</v>
      </c>
    </row>
    <row r="90" spans="2:5">
      <c r="B90" s="1">
        <f>Flow_Model!A85</f>
        <v>46142</v>
      </c>
      <c r="C90">
        <f>Flow_Model!B85</f>
        <v>-2044.3700000000001</v>
      </c>
      <c r="D90">
        <f>Flow_Model!C85</f>
        <v>1558.19</v>
      </c>
      <c r="E90">
        <f>IFERROR(_xlfn.XLOOKUP(B90,'Nifty 50 Historical Data'!A:A,'Nifty 50 Historical Data'!B:B),"")</f>
        <v>23997.55</v>
      </c>
    </row>
    <row r="91" spans="2:5">
      <c r="B91" s="1">
        <f>Flow_Model!A86</f>
        <v>46143</v>
      </c>
      <c r="C91">
        <f>Flow_Model!B86</f>
        <v>462.9</v>
      </c>
      <c r="D91">
        <f>Flow_Model!C86</f>
        <v>1709.7</v>
      </c>
      <c r="E91" t="str">
        <f>IFERROR(_xlfn.XLOOKUP(B91,'Nifty 50 Historical Data'!A:A,'Nifty 50 Historical Data'!B:B),"")</f>
        <v/>
      </c>
    </row>
    <row r="92" spans="2:5">
      <c r="B92" s="1">
        <f>Flow_Model!A87</f>
        <v>46144</v>
      </c>
      <c r="C92">
        <f>Flow_Model!B87</f>
        <v>1214.76</v>
      </c>
      <c r="D92">
        <f>Flow_Model!C87</f>
        <v>898.71</v>
      </c>
      <c r="E92" t="str">
        <f>IFERROR(_xlfn.XLOOKUP(B92,'Nifty 50 Historical Data'!A:A,'Nifty 50 Historical Data'!B:B),"")</f>
        <v/>
      </c>
    </row>
    <row r="93" spans="2:5">
      <c r="B93" s="1">
        <f>Flow_Model!A88</f>
        <v>46145</v>
      </c>
      <c r="C93">
        <f>Flow_Model!B88</f>
        <v>1204.8800000000001</v>
      </c>
      <c r="D93">
        <f>Flow_Model!C88</f>
        <v>2153.54</v>
      </c>
      <c r="E93" t="str">
        <f>IFERROR(_xlfn.XLOOKUP(B93,'Nifty 50 Historical Data'!A:A,'Nifty 50 Historical Data'!B:B),"")</f>
        <v/>
      </c>
    </row>
    <row r="94" spans="2:5">
      <c r="B94" s="1">
        <f>Flow_Model!A89</f>
        <v>46146</v>
      </c>
      <c r="C94">
        <f>Flow_Model!B89</f>
        <v>399.83999999999992</v>
      </c>
      <c r="D94">
        <f>Flow_Model!C89</f>
        <v>99.620000000000061</v>
      </c>
      <c r="E94">
        <f>IFERROR(_xlfn.XLOOKUP(B94,'Nifty 50 Historical Data'!A:A,'Nifty 50 Historical Data'!B:B),"")</f>
        <v>24119.3</v>
      </c>
    </row>
    <row r="95" spans="2:5">
      <c r="B95" s="1">
        <f>Flow_Model!A90</f>
        <v>46147</v>
      </c>
      <c r="C95">
        <f>Flow_Model!B90</f>
        <v>-297.64999999999998</v>
      </c>
      <c r="D95">
        <f>Flow_Model!C90</f>
        <v>-642.07999999999993</v>
      </c>
      <c r="E95">
        <f>IFERROR(_xlfn.XLOOKUP(B95,'Nifty 50 Historical Data'!A:A,'Nifty 50 Historical Data'!B:B),"")</f>
        <v>24032.799999999999</v>
      </c>
    </row>
    <row r="96" spans="2:5">
      <c r="B96" s="1">
        <f>Flow_Model!A91</f>
        <v>46148</v>
      </c>
      <c r="C96">
        <f>Flow_Model!B91</f>
        <v>-507.68000000000006</v>
      </c>
      <c r="D96">
        <f>Flow_Model!C91</f>
        <v>52.150000000000077</v>
      </c>
      <c r="E96">
        <f>IFERROR(_xlfn.XLOOKUP(B96,'Nifty 50 Historical Data'!A:A,'Nifty 50 Historical Data'!B:B),"")</f>
        <v>24330.95</v>
      </c>
    </row>
    <row r="97" spans="2:5">
      <c r="B97" s="1">
        <f>Flow_Model!A92</f>
        <v>46149</v>
      </c>
      <c r="C97">
        <f>Flow_Model!B92</f>
        <v>784.98</v>
      </c>
      <c r="D97">
        <f>Flow_Model!C92</f>
        <v>2153.56</v>
      </c>
      <c r="E97">
        <f>IFERROR(_xlfn.XLOOKUP(B97,'Nifty 50 Historical Data'!A:A,'Nifty 50 Historical Data'!B:B),"")</f>
        <v>24326.65</v>
      </c>
    </row>
    <row r="98" spans="2:5">
      <c r="B98" s="1">
        <f>Flow_Model!A93</f>
        <v>46150</v>
      </c>
      <c r="C98">
        <f>Flow_Model!B93</f>
        <v>-1435.66</v>
      </c>
      <c r="D98">
        <f>Flow_Model!C93</f>
        <v>-1644.15</v>
      </c>
      <c r="E98">
        <f>IFERROR(_xlfn.XLOOKUP(B98,'Nifty 50 Historical Data'!A:A,'Nifty 50 Historical Data'!B:B),"")</f>
        <v>24176.15</v>
      </c>
    </row>
    <row r="99" spans="2:5">
      <c r="B99" s="1">
        <f>Flow_Model!A94</f>
        <v>46153</v>
      </c>
      <c r="C99">
        <f>Flow_Model!B94</f>
        <v>230.22999999999996</v>
      </c>
      <c r="D99">
        <f>Flow_Model!C94</f>
        <v>-1737.7000000000003</v>
      </c>
      <c r="E99">
        <f>IFERROR(_xlfn.XLOOKUP(B99,'Nifty 50 Historical Data'!A:A,'Nifty 50 Historical Data'!B:B),"")</f>
        <v>23815.85</v>
      </c>
    </row>
    <row r="100" spans="2:5">
      <c r="B100" s="1">
        <f>Flow_Model!A95</f>
        <v>46154</v>
      </c>
      <c r="C100">
        <f>Flow_Model!B95</f>
        <v>1165.8500000000001</v>
      </c>
      <c r="D100">
        <f>Flow_Model!C95</f>
        <v>1203.9899999999996</v>
      </c>
      <c r="E100">
        <f>IFERROR(_xlfn.XLOOKUP(B100,'Nifty 50 Historical Data'!A:A,'Nifty 50 Historical Data'!B:B),"")</f>
        <v>23379.55</v>
      </c>
    </row>
    <row r="101" spans="2:5">
      <c r="B101" s="1">
        <f>Flow_Model!A96</f>
        <v>46155</v>
      </c>
      <c r="C101">
        <f>Flow_Model!B96</f>
        <v>-1064.94</v>
      </c>
      <c r="D101">
        <f>Flow_Model!C96</f>
        <v>3566.46</v>
      </c>
      <c r="E101">
        <f>IFERROR(_xlfn.XLOOKUP(B101,'Nifty 50 Historical Data'!A:A,'Nifty 50 Historical Data'!B:B),"")</f>
        <v>23412.6</v>
      </c>
    </row>
    <row r="102" spans="2:5">
      <c r="B102" s="1">
        <f>Flow_Model!A97</f>
        <v>46156</v>
      </c>
      <c r="C102">
        <f>Flow_Model!B97</f>
        <v>1217.57</v>
      </c>
      <c r="D102">
        <f>Flow_Model!C97</f>
        <v>1503.52</v>
      </c>
      <c r="E102">
        <f>IFERROR(_xlfn.XLOOKUP(B102,'Nifty 50 Historical Data'!A:A,'Nifty 50 Historical Data'!B:B),"")</f>
        <v>23689.599999999999</v>
      </c>
    </row>
    <row r="103" spans="2:5">
      <c r="B103" s="1">
        <f>Flow_Model!A98</f>
        <v>46157</v>
      </c>
      <c r="C103">
        <f>Flow_Model!B98</f>
        <v>1139.5700000000002</v>
      </c>
      <c r="D103">
        <f>Flow_Model!C98</f>
        <v>2120.5500000000002</v>
      </c>
      <c r="E103">
        <f>IFERROR(_xlfn.XLOOKUP(B103,'Nifty 50 Historical Data'!A:A,'Nifty 50 Historical Data'!B:B),"")</f>
        <v>23643.5</v>
      </c>
    </row>
    <row r="104" spans="2:5">
      <c r="B104" s="1">
        <f>Flow_Model!A99</f>
        <v>46160</v>
      </c>
      <c r="C104">
        <f>Flow_Model!B99</f>
        <v>3269.83</v>
      </c>
      <c r="D104">
        <f>Flow_Model!C99</f>
        <v>450.53</v>
      </c>
      <c r="E104">
        <f>IFERROR(_xlfn.XLOOKUP(B104,'Nifty 50 Historical Data'!A:A,'Nifty 50 Historical Data'!B:B),"")</f>
        <v>23649.95</v>
      </c>
    </row>
    <row r="105" spans="2:5">
      <c r="B105" s="1">
        <f>Flow_Model!A100</f>
        <v>46161</v>
      </c>
      <c r="C105">
        <f>Flow_Model!B100</f>
        <v>-1603.27</v>
      </c>
      <c r="D105">
        <f>Flow_Model!C100</f>
        <v>1094.29</v>
      </c>
      <c r="E105">
        <f>IFERROR(_xlfn.XLOOKUP(B105,'Nifty 50 Historical Data'!A:A,'Nifty 50 Historical Data'!B:B),"")</f>
        <v>23618</v>
      </c>
    </row>
    <row r="106" spans="2:5">
      <c r="B106" s="1">
        <f>Flow_Model!A101</f>
        <v>46162</v>
      </c>
      <c r="C106">
        <f>Flow_Model!B101</f>
        <v>169.97000000000014</v>
      </c>
      <c r="D106">
        <f>Flow_Model!C101</f>
        <v>1012.65</v>
      </c>
      <c r="E106">
        <f>IFERROR(_xlfn.XLOOKUP(B106,'Nifty 50 Historical Data'!A:A,'Nifty 50 Historical Data'!B:B),"")</f>
        <v>23659</v>
      </c>
    </row>
    <row r="107" spans="2:5">
      <c r="B107" s="1">
        <f>Flow_Model!A102</f>
        <v>46163</v>
      </c>
      <c r="C107">
        <f>Flow_Model!B102</f>
        <v>-1840.14</v>
      </c>
      <c r="D107">
        <f>Flow_Model!C102</f>
        <v>-1274.8399999999997</v>
      </c>
      <c r="E107">
        <f>IFERROR(_xlfn.XLOOKUP(B107,'Nifty 50 Historical Data'!A:A,'Nifty 50 Historical Data'!B:B),"")</f>
        <v>23654.7</v>
      </c>
    </row>
    <row r="108" spans="2:5">
      <c r="B108" s="1">
        <f>Flow_Model!A103</f>
        <v>46164</v>
      </c>
      <c r="C108">
        <f>Flow_Model!B103</f>
        <v>-1013.4000000000001</v>
      </c>
      <c r="D108">
        <f>Flow_Model!C103</f>
        <v>1480.31</v>
      </c>
      <c r="E108">
        <f>IFERROR(_xlfn.XLOOKUP(B108,'Nifty 50 Historical Data'!A:A,'Nifty 50 Historical Data'!B:B),"")</f>
        <v>23719.3</v>
      </c>
    </row>
    <row r="109" spans="2:5">
      <c r="B109" s="1">
        <f>Flow_Model!A104</f>
        <v>46167</v>
      </c>
      <c r="C109">
        <f>Flow_Model!B104</f>
        <v>-751.5</v>
      </c>
      <c r="D109">
        <f>Flow_Model!C104</f>
        <v>-873.81</v>
      </c>
      <c r="E109">
        <f>IFERROR(_xlfn.XLOOKUP(B109,'Nifty 50 Historical Data'!A:A,'Nifty 50 Historical Data'!B:B),"")</f>
        <v>24031.7</v>
      </c>
    </row>
    <row r="110" spans="2:5">
      <c r="B110" s="1">
        <f>Flow_Model!A105</f>
        <v>46168</v>
      </c>
      <c r="C110">
        <f>Flow_Model!B105</f>
        <v>130.54999999999995</v>
      </c>
      <c r="D110">
        <f>Flow_Model!C105</f>
        <v>-2212.1799999999998</v>
      </c>
      <c r="E110">
        <f>IFERROR(_xlfn.XLOOKUP(B110,'Nifty 50 Historical Data'!A:A,'Nifty 50 Historical Data'!B:B),"")</f>
        <v>23913.7</v>
      </c>
    </row>
    <row r="111" spans="2:5">
      <c r="B111" s="1">
        <f>Flow_Model!A106</f>
        <v>46169</v>
      </c>
      <c r="C111">
        <f>Flow_Model!B106</f>
        <v>-632.07999999999993</v>
      </c>
      <c r="D111">
        <f>Flow_Model!C106</f>
        <v>192.81999999999994</v>
      </c>
      <c r="E111">
        <f>IFERROR(_xlfn.XLOOKUP(B111,'Nifty 50 Historical Data'!A:A,'Nifty 50 Historical Data'!B:B),"")</f>
        <v>23907.15</v>
      </c>
    </row>
    <row r="112" spans="2:5">
      <c r="B112" s="1">
        <f>Flow_Model!A107</f>
        <v>46170</v>
      </c>
      <c r="C112">
        <f>Flow_Model!B107</f>
        <v>1234.3200000000002</v>
      </c>
      <c r="D112">
        <f>Flow_Model!C107</f>
        <v>1156.44</v>
      </c>
      <c r="E112" t="str">
        <f>IFERROR(_xlfn.XLOOKUP(B112,'Nifty 50 Historical Data'!A:A,'Nifty 50 Historical Data'!B:B),"")</f>
        <v/>
      </c>
    </row>
    <row r="113" spans="2:5">
      <c r="B113" s="1">
        <f>Flow_Model!A108</f>
        <v>46171</v>
      </c>
      <c r="C113">
        <f>Flow_Model!B108</f>
        <v>790.73000000000025</v>
      </c>
      <c r="D113">
        <f>Flow_Model!C108</f>
        <v>-1126.06</v>
      </c>
      <c r="E113">
        <f>IFERROR(_xlfn.XLOOKUP(B113,'Nifty 50 Historical Data'!A:A,'Nifty 50 Historical Data'!B:B),"")</f>
        <v>23547.75</v>
      </c>
    </row>
    <row r="114" spans="2:5">
      <c r="B114" s="1">
        <f>Flow_Model!A109</f>
        <v>46174</v>
      </c>
      <c r="C114">
        <f>Flow_Model!B109</f>
        <v>263.88</v>
      </c>
      <c r="D114">
        <f>Flow_Model!C109</f>
        <v>-2744.29</v>
      </c>
      <c r="E114">
        <f>IFERROR(_xlfn.XLOOKUP(B114,'Nifty 50 Historical Data'!A:A,'Nifty 50 Historical Data'!B:B),"")</f>
        <v>23382.6</v>
      </c>
    </row>
    <row r="115" spans="2:5">
      <c r="B115" s="1">
        <f>Flow_Model!A110</f>
        <v>46175</v>
      </c>
      <c r="C115">
        <f>Flow_Model!B110</f>
        <v>-614.34</v>
      </c>
      <c r="D115">
        <f>Flow_Model!C110</f>
        <v>-1388.97</v>
      </c>
      <c r="E115">
        <f>IFERROR(_xlfn.XLOOKUP(B115,'Nifty 50 Historical Data'!A:A,'Nifty 50 Historical Data'!B:B),"")</f>
        <v>23483.55</v>
      </c>
    </row>
    <row r="116" spans="2:5">
      <c r="B116" s="1">
        <f>Flow_Model!A111</f>
        <v>46176</v>
      </c>
      <c r="C116">
        <f>Flow_Model!B111</f>
        <v>1389.3600000000001</v>
      </c>
      <c r="D116">
        <f>Flow_Model!C111</f>
        <v>-2942.7699999999995</v>
      </c>
      <c r="E116">
        <f>IFERROR(_xlfn.XLOOKUP(B116,'Nifty 50 Historical Data'!A:A,'Nifty 50 Historical Data'!B:B),"")</f>
        <v>23405.599999999999</v>
      </c>
    </row>
    <row r="117" spans="2:5">
      <c r="B117" s="1">
        <f>Flow_Model!A112</f>
        <v>46177</v>
      </c>
      <c r="C117">
        <f>Flow_Model!B112</f>
        <v>-2279.2200000000003</v>
      </c>
      <c r="D117">
        <f>Flow_Model!C112</f>
        <v>2011.52</v>
      </c>
      <c r="E117">
        <f>IFERROR(_xlfn.XLOOKUP(B117,'Nifty 50 Historical Data'!A:A,'Nifty 50 Historical Data'!B:B),"")</f>
        <v>23416.55</v>
      </c>
    </row>
    <row r="118" spans="2:5">
      <c r="B118" s="1">
        <f>Flow_Model!A113</f>
        <v>46178</v>
      </c>
      <c r="C118">
        <f>Flow_Model!B113</f>
        <v>3096.4300000000003</v>
      </c>
      <c r="D118">
        <f>Flow_Model!C113</f>
        <v>3927.12</v>
      </c>
      <c r="E118">
        <f>IFERROR(_xlfn.XLOOKUP(B118,'Nifty 50 Historical Data'!A:A,'Nifty 50 Historical Data'!B:B),"")</f>
        <v>23366.7</v>
      </c>
    </row>
    <row r="119" spans="2:5">
      <c r="B119" s="1">
        <f>Flow_Model!A114</f>
        <v>46181</v>
      </c>
      <c r="C119">
        <f>Flow_Model!B114</f>
        <v>-2107.06</v>
      </c>
      <c r="D119">
        <f>Flow_Model!C114</f>
        <v>1456.15</v>
      </c>
      <c r="E119">
        <f>IFERROR(_xlfn.XLOOKUP(B119,'Nifty 50 Historical Data'!A:A,'Nifty 50 Historical Data'!B:B),"")</f>
        <v>23123</v>
      </c>
    </row>
    <row r="120" spans="2:5">
      <c r="B120" s="1">
        <f>Flow_Model!A115</f>
        <v>46182</v>
      </c>
      <c r="C120">
        <f>Flow_Model!B115</f>
        <v>1222.94</v>
      </c>
      <c r="D120">
        <f>Flow_Model!C115</f>
        <v>1636.8799999999997</v>
      </c>
      <c r="E120">
        <f>IFERROR(_xlfn.XLOOKUP(B120,'Nifty 50 Historical Data'!A:A,'Nifty 50 Historical Data'!B:B),"")</f>
        <v>23242.1</v>
      </c>
    </row>
    <row r="121" spans="2:5">
      <c r="B121" s="1">
        <f>Flow_Model!A116</f>
        <v>46183</v>
      </c>
      <c r="C121">
        <f>Flow_Model!B116</f>
        <v>684.0200000000001</v>
      </c>
      <c r="D121">
        <f>Flow_Model!C116</f>
        <v>-1041.03</v>
      </c>
      <c r="E121">
        <f>IFERROR(_xlfn.XLOOKUP(B121,'Nifty 50 Historical Data'!A:A,'Nifty 50 Historical Data'!B:B),"")</f>
        <v>23214.95</v>
      </c>
    </row>
    <row r="122" spans="2:5">
      <c r="B122" s="1">
        <f>Flow_Model!A117</f>
        <v>46184</v>
      </c>
      <c r="C122">
        <f>Flow_Model!B117</f>
        <v>-439.62000000000006</v>
      </c>
      <c r="D122">
        <f>Flow_Model!C117</f>
        <v>1028.3899999999999</v>
      </c>
      <c r="E122">
        <f>IFERROR(_xlfn.XLOOKUP(B122,'Nifty 50 Historical Data'!A:A,'Nifty 50 Historical Data'!B:B),"")</f>
        <v>23161.599999999999</v>
      </c>
    </row>
    <row r="123" spans="2:5">
      <c r="B123" s="1">
        <f>Flow_Model!A118</f>
        <v>46185</v>
      </c>
      <c r="C123">
        <f>Flow_Model!B118</f>
        <v>-1128.53</v>
      </c>
      <c r="D123">
        <f>Flow_Model!C118</f>
        <v>-4973.26</v>
      </c>
      <c r="E123">
        <f>IFERROR(_xlfn.XLOOKUP(B123,'Nifty 50 Historical Data'!A:A,'Nifty 50 Historical Data'!B:B),"")</f>
        <v>23622.9</v>
      </c>
    </row>
    <row r="124" spans="2:5">
      <c r="B124" s="1">
        <f>Flow_Model!A119</f>
        <v>46188</v>
      </c>
      <c r="C124">
        <f>Flow_Model!B119</f>
        <v>-543.31999999999994</v>
      </c>
      <c r="D124">
        <f>Flow_Model!C119</f>
        <v>1441.35</v>
      </c>
      <c r="E124">
        <f>IFERROR(_xlfn.XLOOKUP(B124,'Nifty 50 Historical Data'!A:A,'Nifty 50 Historical Data'!B:B),"")</f>
        <v>23853.9</v>
      </c>
    </row>
    <row r="125" spans="2:5">
      <c r="B125" s="1">
        <f>Flow_Model!A120</f>
        <v>46189</v>
      </c>
      <c r="C125">
        <f>Flow_Model!B120</f>
        <v>1018</v>
      </c>
      <c r="D125">
        <f>Flow_Model!C120</f>
        <v>-4579.9400000000005</v>
      </c>
      <c r="E125">
        <f>IFERROR(_xlfn.XLOOKUP(B125,'Nifty 50 Historical Data'!A:A,'Nifty 50 Historical Data'!B:B),"")</f>
        <v>23989.15</v>
      </c>
    </row>
    <row r="126" spans="2:5">
      <c r="B126" s="1">
        <f>Flow_Model!A121</f>
        <v>46191</v>
      </c>
      <c r="C126">
        <f>Flow_Model!B121</f>
        <v>1487.75</v>
      </c>
      <c r="D126">
        <f>Flow_Model!C121</f>
        <v>77.990000000000009</v>
      </c>
      <c r="E126">
        <f>IFERROR(_xlfn.XLOOKUP(B126,'Nifty 50 Historical Data'!A:A,'Nifty 50 Historical Data'!B:B),"")</f>
        <v>24168</v>
      </c>
    </row>
    <row r="127" spans="2:5">
      <c r="B127" s="1">
        <f>Flow_Model!A122</f>
        <v>46192</v>
      </c>
      <c r="C127">
        <f>Flow_Model!B122</f>
        <v>-3379.46</v>
      </c>
      <c r="D127">
        <f>Flow_Model!C122</f>
        <v>-3787.3</v>
      </c>
      <c r="E127">
        <f>IFERROR(_xlfn.XLOOKUP(B127,'Nifty 50 Historical Data'!A:A,'Nifty 50 Historical Data'!B:B),"")</f>
        <v>24013.1</v>
      </c>
    </row>
    <row r="128" spans="2:5">
      <c r="B128" s="1">
        <f>Flow_Model!A123</f>
        <v>46195</v>
      </c>
      <c r="C128">
        <f>Flow_Model!B123</f>
        <v>-1592.6</v>
      </c>
      <c r="D128">
        <f>Flow_Model!C123</f>
        <v>-603.71</v>
      </c>
      <c r="E128">
        <f>IFERROR(_xlfn.XLOOKUP(B128,'Nifty 50 Historical Data'!A:A,'Nifty 50 Historical Data'!B:B),"")</f>
        <v>24102.9</v>
      </c>
    </row>
    <row r="129" spans="2:5">
      <c r="B129" s="1">
        <f>Flow_Model!A124</f>
        <v>46196</v>
      </c>
      <c r="C129">
        <f>Flow_Model!B124</f>
        <v>183.37000000000012</v>
      </c>
      <c r="D129">
        <f>Flow_Model!C124</f>
        <v>-1032.2999999999997</v>
      </c>
      <c r="E129">
        <f>IFERROR(_xlfn.XLOOKUP(B129,'Nifty 50 Historical Data'!A:A,'Nifty 50 Historical Data'!B:B),"")</f>
        <v>23824.1</v>
      </c>
    </row>
    <row r="130" spans="2:5">
      <c r="B130" s="1">
        <f>Flow_Model!A125</f>
        <v>46197</v>
      </c>
      <c r="C130">
        <f>Flow_Model!B125</f>
        <v>-407.43999999999994</v>
      </c>
      <c r="D130">
        <f>Flow_Model!C125</f>
        <v>-1939.07</v>
      </c>
      <c r="E130">
        <f>IFERROR(_xlfn.XLOOKUP(B130,'Nifty 50 Historical Data'!A:A,'Nifty 50 Historical Data'!B:B),"")</f>
        <v>24021.65</v>
      </c>
    </row>
    <row r="131" spans="2:5">
      <c r="B131" s="1">
        <f>Flow_Model!A126</f>
        <v>46198</v>
      </c>
      <c r="C131">
        <f>Flow_Model!B126</f>
        <v>1592.5500000000002</v>
      </c>
      <c r="D131">
        <f>Flow_Model!C126</f>
        <v>-1302.73</v>
      </c>
      <c r="E131">
        <f>IFERROR(_xlfn.XLOOKUP(B131,'Nifty 50 Historical Data'!A:A,'Nifty 50 Historical Data'!B:B),"")</f>
        <v>24056</v>
      </c>
    </row>
    <row r="132" spans="2:5">
      <c r="B132" s="1">
        <f>Flow_Model!A127</f>
        <v>46199</v>
      </c>
      <c r="C132">
        <f>Flow_Model!B127</f>
        <v>-813.79</v>
      </c>
      <c r="D132">
        <f>Flow_Model!C127</f>
        <v>605.63</v>
      </c>
      <c r="E132" t="str">
        <f>IFERROR(_xlfn.XLOOKUP(B132,'Nifty 50 Historical Data'!A:A,'Nifty 50 Historical Data'!B:B),"")</f>
        <v/>
      </c>
    </row>
    <row r="133" spans="2:5">
      <c r="B133" s="1">
        <f>Flow_Model!A128</f>
        <v>46202</v>
      </c>
      <c r="C133">
        <f>Flow_Model!B128</f>
        <v>2111.2800000000002</v>
      </c>
      <c r="D133">
        <f>Flow_Model!C128</f>
        <v>2604.5600000000004</v>
      </c>
      <c r="E133">
        <f>IFERROR(_xlfn.XLOOKUP(B133,'Nifty 50 Historical Data'!A:A,'Nifty 50 Historical Data'!B:B),"")</f>
        <v>23946.25</v>
      </c>
    </row>
    <row r="134" spans="2:5">
      <c r="B134" s="1">
        <f>Flow_Model!A129</f>
        <v>46203</v>
      </c>
      <c r="C134">
        <f>Flow_Model!B129</f>
        <v>1541.5</v>
      </c>
      <c r="D134">
        <f>Flow_Model!C129</f>
        <v>-1951.7099999999998</v>
      </c>
      <c r="E134" t="str">
        <f>IFERROR(_xlfn.XLOOKUP(B134,'Nifty 50 Historical Data'!A:A,'Nifty 50 Historical Data'!B:B),"")</f>
        <v/>
      </c>
    </row>
    <row r="140" spans="2:5">
      <c r="B140" s="2" t="s">
        <v>9</v>
      </c>
    </row>
    <row r="141" spans="2:5">
      <c r="B141" s="2" t="s">
        <v>10</v>
      </c>
      <c r="C141" t="str">
        <f>INDEX(Flow_Model!W:W,MATCH(MAX(Flow_Model!A:A),Flow_Model!A:A,0))</f>
        <v>Divergent Flow</v>
      </c>
    </row>
    <row r="142" spans="2:5">
      <c r="B142" s="2" t="s">
        <v>11</v>
      </c>
      <c r="C142" t="str">
        <f>IF(INDEX(Flow_Model!S:S,MATCH(MAX(Flow_Model!A:A),Flow_Model!A:A,0))&gt;0.75,"High",IF(INDEX(Flow_Model!S:S,MATCH(MAX(Flow_Model!A:A),Flow_Model!A:A,0))&gt;0.5,"Moderate","Low"))</f>
        <v>Moderate</v>
      </c>
    </row>
    <row r="143" spans="2:5">
      <c r="B143" s="2"/>
    </row>
    <row r="144" spans="2:5">
      <c r="B144" s="2"/>
    </row>
    <row r="145" spans="2:6">
      <c r="B145" s="2" t="s">
        <v>12</v>
      </c>
    </row>
    <row r="146" spans="2:6" ht="63" customHeight="1">
      <c r="B146" s="30" t="str">
        <f>"As of "&amp;TEXT(INDEX(Flow_Model!A:A,MATCH(MAX(Flow_Model!A:A),Flow_Model!A:A,0)),"DD-MMM-YYYY")&amp;", FII activity shows "&amp;INDEX(Flow_Model!W:W,MATCH(MAX(Flow_Model!A:A),Flow_Model!A:A,0))&amp;" with a Sector Concentration of "&amp;TEXT(INDEX(Flow_Model!S:S,MATCH(MAX(Flow_Model!A:A),Flow_Model!A:A,0)),"0%")&amp;", while DII flows remain "&amp;IF(INDEX(Flow_Model!C:C,MATCH(MAX(Flow_Model!A:A),Flow_Model!A:A,0))&gt;=0,"net positive","net negative")&amp;" at ₹"&amp;TEXT(ABS(INDEX(Flow_Model!C:C,MATCH(MAX(Flow_Model!A:A),Flow_Model!A:A,0))),"#,##0")&amp;" Cr. "&amp;IF(INDEX(Flow_Model!T:T,MATCH(MAX(Flow_Model!A:A),Flow_Model!A:A,0))="","NIFTY 50 move unavailable for that day","NIFTY 50 moved "&amp;TEXT(INDEX(Flow_Model!T:T,MATCH(MAX(Flow_Model!A:A),Flow_Model!A:A,0)),"0.00")&amp;"% that day")&amp;", with a "&amp;IF(ABS(INDEX(Flow_Model!V:V,MATCH(MAX(Flow_Model!A:A),Flow_Model!A:A,0)))&lt;0.1,"weak",IF(ABS(INDEX(Flow_Model!V:V,MATCH(MAX(Flow_Model!A:A),Flow_Model!A:A,0)))&lt;0.4,"moderate","strong"))&amp;" flow-market correlation of "&amp;TEXT(INDEX(Flow_Model!V:V,MATCH(MAX(Flow_Model!A:A),Flow_Model!A:A,0)),"0.00")&amp;"."</f>
        <v>As of 30-Jun-2026, FII activity shows Divergent Flow with a Sector Concentration of 66%, while DII flows remain net negative at ₹1,952 Cr. NIFTY 50 move unavailable for that day, with a weak flow-market correlation of 0.00.</v>
      </c>
      <c r="C146" s="30"/>
      <c r="D146" s="30"/>
      <c r="E146" s="30"/>
      <c r="F146" s="30"/>
    </row>
  </sheetData>
  <mergeCells count="1">
    <mergeCell ref="B146:F146"/>
  </mergeCells>
  <conditionalFormatting sqref="C141">
    <cfRule type="containsText" dxfId="20" priority="2" operator="containsText" text="Selling">
      <formula>NOT(ISERROR(SEARCH("Selling",C141)))</formula>
    </cfRule>
  </conditionalFormatting>
  <conditionalFormatting sqref="C141:C142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42">
    <cfRule type="containsText" dxfId="19" priority="1" operator="containsText" text="High">
      <formula>NOT(ISERROR(SEARCH("High",C142)))</formula>
    </cfRule>
  </conditionalFormatting>
  <pageMargins left="0.7" right="0.7" top="0.75" bottom="0.75" header="0.3" footer="0.3"/>
  <pageSetup paperSize="2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B6E0-3B51-4D6B-BBFB-B020D5ECE341}">
  <sheetPr>
    <tabColor theme="3" tint="0.749992370372631"/>
  </sheetPr>
  <dimension ref="A1:I879"/>
  <sheetViews>
    <sheetView showGridLines="0" showRowColHeaders="0" workbookViewId="0"/>
  </sheetViews>
  <sheetFormatPr defaultRowHeight="14.45"/>
  <cols>
    <col min="1" max="1" width="10.28515625" bestFit="1" customWidth="1"/>
    <col min="2" max="2" width="12.7109375" bestFit="1" customWidth="1"/>
    <col min="3" max="3" width="19.7109375" bestFit="1" customWidth="1"/>
    <col min="4" max="4" width="14.42578125" bestFit="1" customWidth="1"/>
    <col min="5" max="5" width="14.7109375" bestFit="1" customWidth="1"/>
    <col min="6" max="6" width="13.5703125" bestFit="1" customWidth="1"/>
    <col min="7" max="7" width="14.28515625" bestFit="1" customWidth="1"/>
    <col min="8" max="8" width="12.7109375" bestFit="1" customWidth="1"/>
    <col min="9" max="9" width="10.28515625" bestFit="1" customWidth="1"/>
  </cols>
  <sheetData>
    <row r="1" spans="1:9">
      <c r="A1" t="s">
        <v>5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9">
      <c r="A2" s="1">
        <v>46122</v>
      </c>
      <c r="B2" t="s">
        <v>20</v>
      </c>
      <c r="C2" t="s">
        <v>21</v>
      </c>
      <c r="D2">
        <v>531.4</v>
      </c>
      <c r="E2">
        <v>1211.3800000000001</v>
      </c>
      <c r="F2">
        <v>-679.98</v>
      </c>
      <c r="G2" t="s">
        <v>22</v>
      </c>
      <c r="H2">
        <f t="shared" ref="H2:H65" si="0">WEEKNUM(A2,2)</f>
        <v>15</v>
      </c>
    </row>
    <row r="3" spans="1:9">
      <c r="A3" s="1">
        <v>46023</v>
      </c>
      <c r="B3" t="s">
        <v>20</v>
      </c>
      <c r="C3" t="s">
        <v>21</v>
      </c>
      <c r="D3">
        <v>328.22</v>
      </c>
      <c r="E3">
        <v>1014.94</v>
      </c>
      <c r="F3">
        <v>-686.72</v>
      </c>
      <c r="G3" t="s">
        <v>22</v>
      </c>
      <c r="H3">
        <f t="shared" si="0"/>
        <v>1</v>
      </c>
    </row>
    <row r="4" spans="1:9">
      <c r="A4" s="1">
        <v>46099</v>
      </c>
      <c r="B4" t="s">
        <v>23</v>
      </c>
      <c r="C4" t="s">
        <v>21</v>
      </c>
      <c r="D4">
        <v>476.42</v>
      </c>
      <c r="E4">
        <v>250.06</v>
      </c>
      <c r="F4">
        <v>226.36</v>
      </c>
      <c r="G4" t="s">
        <v>22</v>
      </c>
      <c r="H4">
        <f t="shared" si="0"/>
        <v>12</v>
      </c>
    </row>
    <row r="5" spans="1:9">
      <c r="A5" s="1">
        <v>46167</v>
      </c>
      <c r="B5" t="s">
        <v>23</v>
      </c>
      <c r="C5" t="s">
        <v>21</v>
      </c>
      <c r="D5">
        <v>850.63</v>
      </c>
      <c r="E5">
        <v>2417.98</v>
      </c>
      <c r="F5">
        <v>-1567.35</v>
      </c>
      <c r="G5" t="s">
        <v>22</v>
      </c>
      <c r="H5">
        <f t="shared" si="0"/>
        <v>22</v>
      </c>
    </row>
    <row r="6" spans="1:9">
      <c r="A6" s="1">
        <v>46052</v>
      </c>
      <c r="B6" t="s">
        <v>23</v>
      </c>
      <c r="C6" t="s">
        <v>21</v>
      </c>
      <c r="D6">
        <v>2313.58</v>
      </c>
      <c r="E6">
        <v>1581.66</v>
      </c>
      <c r="F6">
        <v>731.92</v>
      </c>
      <c r="G6" t="s">
        <v>22</v>
      </c>
      <c r="H6">
        <f t="shared" si="0"/>
        <v>5</v>
      </c>
    </row>
    <row r="7" spans="1:9">
      <c r="A7" s="1">
        <v>46062</v>
      </c>
      <c r="B7" t="s">
        <v>23</v>
      </c>
      <c r="C7" t="s">
        <v>24</v>
      </c>
      <c r="D7">
        <v>1528.34</v>
      </c>
      <c r="E7">
        <v>1025.02</v>
      </c>
      <c r="F7">
        <v>503.32</v>
      </c>
      <c r="G7" t="s">
        <v>22</v>
      </c>
      <c r="H7">
        <f t="shared" si="0"/>
        <v>7</v>
      </c>
      <c r="I7" s="1"/>
    </row>
    <row r="8" spans="1:9">
      <c r="A8" s="1">
        <v>46104</v>
      </c>
      <c r="B8" t="s">
        <v>23</v>
      </c>
      <c r="C8" t="s">
        <v>24</v>
      </c>
      <c r="D8">
        <v>2350.1</v>
      </c>
      <c r="E8">
        <v>1279.3599999999999</v>
      </c>
      <c r="F8">
        <v>1070.74</v>
      </c>
      <c r="G8" t="s">
        <v>22</v>
      </c>
      <c r="H8">
        <f t="shared" si="0"/>
        <v>13</v>
      </c>
    </row>
    <row r="9" spans="1:9">
      <c r="A9" s="1">
        <v>46044</v>
      </c>
      <c r="B9" t="s">
        <v>23</v>
      </c>
      <c r="C9" t="s">
        <v>25</v>
      </c>
      <c r="D9">
        <v>837.12</v>
      </c>
      <c r="E9">
        <v>460.17</v>
      </c>
      <c r="F9">
        <v>376.95</v>
      </c>
      <c r="G9" t="s">
        <v>22</v>
      </c>
      <c r="H9">
        <f t="shared" si="0"/>
        <v>4</v>
      </c>
    </row>
    <row r="10" spans="1:9">
      <c r="A10" s="1">
        <v>46052</v>
      </c>
      <c r="B10" t="s">
        <v>20</v>
      </c>
      <c r="C10" t="s">
        <v>26</v>
      </c>
      <c r="D10">
        <v>707.02</v>
      </c>
      <c r="E10">
        <v>805.4</v>
      </c>
      <c r="F10">
        <v>-98.38</v>
      </c>
      <c r="G10" t="s">
        <v>22</v>
      </c>
      <c r="H10">
        <f t="shared" si="0"/>
        <v>5</v>
      </c>
    </row>
    <row r="11" spans="1:9">
      <c r="A11" s="1">
        <v>46077</v>
      </c>
      <c r="B11" t="s">
        <v>20</v>
      </c>
      <c r="C11" t="s">
        <v>26</v>
      </c>
      <c r="D11">
        <v>1896.12</v>
      </c>
      <c r="E11">
        <v>1897.3</v>
      </c>
      <c r="F11">
        <v>-1.18</v>
      </c>
      <c r="G11" t="s">
        <v>22</v>
      </c>
      <c r="H11">
        <f t="shared" si="0"/>
        <v>9</v>
      </c>
    </row>
    <row r="12" spans="1:9">
      <c r="A12" s="1">
        <v>46056</v>
      </c>
      <c r="B12" t="s">
        <v>23</v>
      </c>
      <c r="C12" t="s">
        <v>26</v>
      </c>
      <c r="D12">
        <v>2551.86</v>
      </c>
      <c r="E12">
        <v>2521.4499999999998</v>
      </c>
      <c r="F12">
        <v>30.41</v>
      </c>
      <c r="G12" t="s">
        <v>22</v>
      </c>
      <c r="H12">
        <f t="shared" si="0"/>
        <v>6</v>
      </c>
    </row>
    <row r="13" spans="1:9">
      <c r="A13" s="1">
        <v>46079</v>
      </c>
      <c r="B13" t="s">
        <v>20</v>
      </c>
      <c r="C13" t="s">
        <v>26</v>
      </c>
      <c r="D13">
        <v>2087.73</v>
      </c>
      <c r="E13">
        <v>2174.69</v>
      </c>
      <c r="F13">
        <v>-86.96</v>
      </c>
      <c r="G13" t="s">
        <v>22</v>
      </c>
      <c r="H13">
        <f t="shared" si="0"/>
        <v>9</v>
      </c>
    </row>
    <row r="14" spans="1:9">
      <c r="A14" s="1">
        <v>46132</v>
      </c>
      <c r="B14" t="s">
        <v>23</v>
      </c>
      <c r="C14" t="s">
        <v>27</v>
      </c>
      <c r="D14">
        <v>795.01</v>
      </c>
      <c r="E14">
        <v>432.35</v>
      </c>
      <c r="F14">
        <v>362.66</v>
      </c>
      <c r="G14" t="s">
        <v>22</v>
      </c>
      <c r="H14">
        <f t="shared" si="0"/>
        <v>17</v>
      </c>
    </row>
    <row r="15" spans="1:9">
      <c r="A15" s="1">
        <v>46164</v>
      </c>
      <c r="B15" t="s">
        <v>23</v>
      </c>
      <c r="C15" t="s">
        <v>28</v>
      </c>
      <c r="D15">
        <v>276.04000000000002</v>
      </c>
      <c r="E15">
        <v>1172.67</v>
      </c>
      <c r="F15">
        <v>-896.63</v>
      </c>
      <c r="G15" t="s">
        <v>22</v>
      </c>
      <c r="H15">
        <f t="shared" si="0"/>
        <v>21</v>
      </c>
    </row>
    <row r="16" spans="1:9">
      <c r="A16" s="1">
        <v>46169</v>
      </c>
      <c r="B16" t="s">
        <v>23</v>
      </c>
      <c r="C16" t="s">
        <v>28</v>
      </c>
      <c r="D16">
        <v>2115.33</v>
      </c>
      <c r="E16">
        <v>1911.46</v>
      </c>
      <c r="F16">
        <v>203.87</v>
      </c>
      <c r="G16" t="s">
        <v>22</v>
      </c>
      <c r="H16">
        <f t="shared" si="0"/>
        <v>22</v>
      </c>
    </row>
    <row r="17" spans="1:8">
      <c r="A17" s="1">
        <v>46169</v>
      </c>
      <c r="B17" t="s">
        <v>20</v>
      </c>
      <c r="C17" t="s">
        <v>29</v>
      </c>
      <c r="D17">
        <v>1726.46</v>
      </c>
      <c r="E17">
        <v>2107.46</v>
      </c>
      <c r="F17">
        <v>-381</v>
      </c>
      <c r="G17" t="s">
        <v>22</v>
      </c>
      <c r="H17">
        <f t="shared" si="0"/>
        <v>22</v>
      </c>
    </row>
    <row r="18" spans="1:8">
      <c r="A18" s="1">
        <v>46065</v>
      </c>
      <c r="B18" t="s">
        <v>20</v>
      </c>
      <c r="C18" t="s">
        <v>30</v>
      </c>
      <c r="D18">
        <v>2118.2199999999998</v>
      </c>
      <c r="E18">
        <v>353.43</v>
      </c>
      <c r="F18">
        <v>1764.79</v>
      </c>
      <c r="G18" t="s">
        <v>22</v>
      </c>
      <c r="H18">
        <f t="shared" si="0"/>
        <v>7</v>
      </c>
    </row>
    <row r="19" spans="1:8">
      <c r="A19" s="1">
        <v>46129</v>
      </c>
      <c r="B19" t="s">
        <v>23</v>
      </c>
      <c r="C19" t="s">
        <v>24</v>
      </c>
      <c r="D19">
        <v>1509.39</v>
      </c>
      <c r="E19">
        <v>1740.58</v>
      </c>
      <c r="F19">
        <v>-231.19</v>
      </c>
      <c r="G19" t="s">
        <v>22</v>
      </c>
      <c r="H19">
        <f t="shared" si="0"/>
        <v>16</v>
      </c>
    </row>
    <row r="20" spans="1:8">
      <c r="A20" s="1">
        <v>46026</v>
      </c>
      <c r="B20" t="s">
        <v>20</v>
      </c>
      <c r="C20" t="s">
        <v>26</v>
      </c>
      <c r="D20">
        <v>2007.01</v>
      </c>
      <c r="E20">
        <v>188.96</v>
      </c>
      <c r="F20">
        <v>1818.05</v>
      </c>
      <c r="G20" t="s">
        <v>22</v>
      </c>
      <c r="H20">
        <f t="shared" si="0"/>
        <v>1</v>
      </c>
    </row>
    <row r="21" spans="1:8">
      <c r="A21" s="1">
        <v>46154</v>
      </c>
      <c r="B21" t="s">
        <v>20</v>
      </c>
      <c r="C21" t="s">
        <v>27</v>
      </c>
      <c r="D21">
        <v>1861.38</v>
      </c>
      <c r="E21">
        <v>1700.17</v>
      </c>
      <c r="F21">
        <v>161.21</v>
      </c>
      <c r="G21" t="s">
        <v>22</v>
      </c>
      <c r="H21">
        <f t="shared" si="0"/>
        <v>20</v>
      </c>
    </row>
    <row r="22" spans="1:8">
      <c r="A22" s="1">
        <v>46084</v>
      </c>
      <c r="B22" t="s">
        <v>23</v>
      </c>
      <c r="C22" t="s">
        <v>27</v>
      </c>
      <c r="D22">
        <v>2382.5300000000002</v>
      </c>
      <c r="E22">
        <v>925.26</v>
      </c>
      <c r="F22">
        <v>1457.27</v>
      </c>
      <c r="G22" t="s">
        <v>22</v>
      </c>
      <c r="H22">
        <f t="shared" si="0"/>
        <v>10</v>
      </c>
    </row>
    <row r="23" spans="1:8">
      <c r="A23" s="1">
        <v>46143</v>
      </c>
      <c r="B23" t="s">
        <v>20</v>
      </c>
      <c r="C23" t="s">
        <v>30</v>
      </c>
      <c r="D23">
        <v>2070.14</v>
      </c>
      <c r="E23">
        <v>1478.47</v>
      </c>
      <c r="F23">
        <v>591.66999999999996</v>
      </c>
      <c r="G23" t="s">
        <v>22</v>
      </c>
      <c r="H23">
        <f t="shared" si="0"/>
        <v>18</v>
      </c>
    </row>
    <row r="24" spans="1:8">
      <c r="A24" s="1">
        <v>46100</v>
      </c>
      <c r="B24" t="s">
        <v>23</v>
      </c>
      <c r="C24" t="s">
        <v>29</v>
      </c>
      <c r="D24">
        <v>1473.45</v>
      </c>
      <c r="E24">
        <v>665.37</v>
      </c>
      <c r="F24">
        <v>808.08</v>
      </c>
      <c r="G24" t="s">
        <v>22</v>
      </c>
      <c r="H24">
        <f t="shared" si="0"/>
        <v>12</v>
      </c>
    </row>
    <row r="25" spans="1:8">
      <c r="A25" s="1">
        <v>46038</v>
      </c>
      <c r="B25" t="s">
        <v>23</v>
      </c>
      <c r="C25" t="s">
        <v>28</v>
      </c>
      <c r="D25">
        <v>1503.72</v>
      </c>
      <c r="E25">
        <v>926.04</v>
      </c>
      <c r="F25">
        <v>577.67999999999995</v>
      </c>
      <c r="G25" t="s">
        <v>22</v>
      </c>
      <c r="H25">
        <f t="shared" si="0"/>
        <v>3</v>
      </c>
    </row>
    <row r="26" spans="1:8">
      <c r="A26" s="1">
        <v>46077</v>
      </c>
      <c r="B26" t="s">
        <v>23</v>
      </c>
      <c r="C26" t="s">
        <v>26</v>
      </c>
      <c r="D26">
        <v>364.21</v>
      </c>
      <c r="E26">
        <v>1714.79</v>
      </c>
      <c r="F26">
        <v>-1350.58</v>
      </c>
      <c r="G26" t="s">
        <v>22</v>
      </c>
      <c r="H26">
        <f t="shared" si="0"/>
        <v>9</v>
      </c>
    </row>
    <row r="27" spans="1:8">
      <c r="A27" s="1">
        <v>46189</v>
      </c>
      <c r="B27" t="s">
        <v>23</v>
      </c>
      <c r="C27" t="s">
        <v>31</v>
      </c>
      <c r="D27">
        <v>423.43</v>
      </c>
      <c r="E27">
        <v>1437.47</v>
      </c>
      <c r="F27">
        <v>-1014.04</v>
      </c>
      <c r="G27" t="s">
        <v>22</v>
      </c>
      <c r="H27">
        <f t="shared" si="0"/>
        <v>25</v>
      </c>
    </row>
    <row r="28" spans="1:8">
      <c r="A28" s="1">
        <v>46099</v>
      </c>
      <c r="B28" t="s">
        <v>23</v>
      </c>
      <c r="C28" t="s">
        <v>24</v>
      </c>
      <c r="D28">
        <v>1581.82</v>
      </c>
      <c r="E28">
        <v>1576.16</v>
      </c>
      <c r="F28">
        <v>5.66</v>
      </c>
      <c r="G28" t="s">
        <v>22</v>
      </c>
      <c r="H28">
        <f t="shared" si="0"/>
        <v>12</v>
      </c>
    </row>
    <row r="29" spans="1:8">
      <c r="A29" s="1">
        <v>46069</v>
      </c>
      <c r="B29" t="s">
        <v>23</v>
      </c>
      <c r="C29" t="s">
        <v>25</v>
      </c>
      <c r="D29">
        <v>249.79</v>
      </c>
      <c r="E29">
        <v>2035.42</v>
      </c>
      <c r="F29">
        <v>-1785.63</v>
      </c>
      <c r="G29" t="s">
        <v>22</v>
      </c>
      <c r="H29">
        <f t="shared" si="0"/>
        <v>8</v>
      </c>
    </row>
    <row r="30" spans="1:8">
      <c r="A30" s="1">
        <v>46121</v>
      </c>
      <c r="B30" t="s">
        <v>23</v>
      </c>
      <c r="C30" t="s">
        <v>32</v>
      </c>
      <c r="D30">
        <v>2031.4</v>
      </c>
      <c r="E30">
        <v>1577.41</v>
      </c>
      <c r="F30">
        <v>453.99</v>
      </c>
      <c r="G30" t="s">
        <v>22</v>
      </c>
      <c r="H30">
        <f t="shared" si="0"/>
        <v>15</v>
      </c>
    </row>
    <row r="31" spans="1:8">
      <c r="A31" s="1">
        <v>46192</v>
      </c>
      <c r="B31" t="s">
        <v>23</v>
      </c>
      <c r="C31" t="s">
        <v>28</v>
      </c>
      <c r="D31">
        <v>933.22</v>
      </c>
      <c r="E31">
        <v>1878.66</v>
      </c>
      <c r="F31">
        <v>-945.44</v>
      </c>
      <c r="G31" t="s">
        <v>22</v>
      </c>
      <c r="H31">
        <f t="shared" si="0"/>
        <v>25</v>
      </c>
    </row>
    <row r="32" spans="1:8">
      <c r="A32" s="1">
        <v>46098</v>
      </c>
      <c r="B32" t="s">
        <v>20</v>
      </c>
      <c r="C32" t="s">
        <v>24</v>
      </c>
      <c r="D32">
        <v>709.99</v>
      </c>
      <c r="E32">
        <v>1697.63</v>
      </c>
      <c r="F32">
        <v>-987.64</v>
      </c>
      <c r="G32" t="s">
        <v>22</v>
      </c>
      <c r="H32">
        <f t="shared" si="0"/>
        <v>12</v>
      </c>
    </row>
    <row r="33" spans="1:8">
      <c r="A33" s="1">
        <v>46077</v>
      </c>
      <c r="B33" t="s">
        <v>20</v>
      </c>
      <c r="C33" t="s">
        <v>32</v>
      </c>
      <c r="D33">
        <v>2136.87</v>
      </c>
      <c r="E33">
        <v>844.05</v>
      </c>
      <c r="F33">
        <v>1292.82</v>
      </c>
      <c r="G33" t="s">
        <v>22</v>
      </c>
      <c r="H33">
        <f t="shared" si="0"/>
        <v>9</v>
      </c>
    </row>
    <row r="34" spans="1:8">
      <c r="A34" s="1">
        <v>46071</v>
      </c>
      <c r="B34" t="s">
        <v>20</v>
      </c>
      <c r="C34" t="s">
        <v>31</v>
      </c>
      <c r="D34">
        <v>152.36000000000001</v>
      </c>
      <c r="E34">
        <v>1932.2</v>
      </c>
      <c r="F34">
        <v>-1779.84</v>
      </c>
      <c r="G34" t="s">
        <v>22</v>
      </c>
      <c r="H34">
        <f t="shared" si="0"/>
        <v>8</v>
      </c>
    </row>
    <row r="35" spans="1:8">
      <c r="A35" s="1">
        <v>46062</v>
      </c>
      <c r="B35" t="s">
        <v>23</v>
      </c>
      <c r="C35" t="s">
        <v>32</v>
      </c>
      <c r="D35">
        <v>1044.3499999999999</v>
      </c>
      <c r="E35">
        <v>1288.99</v>
      </c>
      <c r="F35">
        <v>-244.64</v>
      </c>
      <c r="G35" t="s">
        <v>22</v>
      </c>
      <c r="H35">
        <f t="shared" si="0"/>
        <v>7</v>
      </c>
    </row>
    <row r="36" spans="1:8">
      <c r="A36" s="1">
        <v>46028</v>
      </c>
      <c r="B36" t="s">
        <v>20</v>
      </c>
      <c r="C36" t="s">
        <v>26</v>
      </c>
      <c r="D36">
        <v>961.17</v>
      </c>
      <c r="E36">
        <v>1875.31</v>
      </c>
      <c r="F36">
        <v>-914.14</v>
      </c>
      <c r="G36" t="s">
        <v>22</v>
      </c>
      <c r="H36">
        <f t="shared" si="0"/>
        <v>2</v>
      </c>
    </row>
    <row r="37" spans="1:8">
      <c r="A37" s="1">
        <v>46161</v>
      </c>
      <c r="B37" t="s">
        <v>20</v>
      </c>
      <c r="C37" t="s">
        <v>27</v>
      </c>
      <c r="D37">
        <v>1105.31</v>
      </c>
      <c r="E37">
        <v>1795.77</v>
      </c>
      <c r="F37">
        <v>-690.46</v>
      </c>
      <c r="G37" t="s">
        <v>33</v>
      </c>
      <c r="H37">
        <f t="shared" si="0"/>
        <v>21</v>
      </c>
    </row>
    <row r="38" spans="1:8">
      <c r="A38" s="1">
        <v>46184</v>
      </c>
      <c r="B38" t="s">
        <v>23</v>
      </c>
      <c r="C38" t="s">
        <v>25</v>
      </c>
      <c r="D38">
        <v>2073.7800000000002</v>
      </c>
      <c r="E38">
        <v>1557.56</v>
      </c>
      <c r="F38">
        <v>516.22</v>
      </c>
      <c r="G38" t="s">
        <v>22</v>
      </c>
      <c r="H38">
        <f t="shared" si="0"/>
        <v>24</v>
      </c>
    </row>
    <row r="39" spans="1:8">
      <c r="A39" s="1">
        <v>46161</v>
      </c>
      <c r="B39" t="s">
        <v>20</v>
      </c>
      <c r="C39" t="s">
        <v>28</v>
      </c>
      <c r="D39">
        <v>1630.95</v>
      </c>
      <c r="E39">
        <v>1711.34</v>
      </c>
      <c r="F39">
        <v>-80.39</v>
      </c>
      <c r="G39" t="s">
        <v>22</v>
      </c>
      <c r="H39">
        <f t="shared" si="0"/>
        <v>21</v>
      </c>
    </row>
    <row r="40" spans="1:8">
      <c r="A40" s="1">
        <v>46097</v>
      </c>
      <c r="B40" t="s">
        <v>23</v>
      </c>
      <c r="C40" t="s">
        <v>27</v>
      </c>
      <c r="D40">
        <v>1630.94</v>
      </c>
      <c r="E40">
        <v>2320.02</v>
      </c>
      <c r="F40">
        <v>-689.08</v>
      </c>
      <c r="G40" t="s">
        <v>22</v>
      </c>
      <c r="H40">
        <f t="shared" si="0"/>
        <v>12</v>
      </c>
    </row>
    <row r="41" spans="1:8">
      <c r="A41" s="1">
        <v>46063</v>
      </c>
      <c r="B41" t="s">
        <v>20</v>
      </c>
      <c r="C41" t="s">
        <v>29</v>
      </c>
      <c r="D41">
        <v>529.55999999999995</v>
      </c>
      <c r="E41">
        <v>593.59</v>
      </c>
      <c r="F41">
        <v>-64.03</v>
      </c>
      <c r="G41" t="s">
        <v>22</v>
      </c>
      <c r="H41">
        <f t="shared" si="0"/>
        <v>7</v>
      </c>
    </row>
    <row r="42" spans="1:8">
      <c r="A42" s="1">
        <v>46185</v>
      </c>
      <c r="B42" t="s">
        <v>20</v>
      </c>
      <c r="C42" t="s">
        <v>28</v>
      </c>
      <c r="D42">
        <v>1708.01</v>
      </c>
      <c r="E42">
        <v>1054.8</v>
      </c>
      <c r="F42">
        <v>653.21</v>
      </c>
      <c r="G42" t="s">
        <v>22</v>
      </c>
      <c r="H42">
        <f t="shared" si="0"/>
        <v>24</v>
      </c>
    </row>
    <row r="43" spans="1:8">
      <c r="A43" s="1">
        <v>46057</v>
      </c>
      <c r="B43" t="s">
        <v>20</v>
      </c>
      <c r="C43" t="s">
        <v>31</v>
      </c>
      <c r="D43">
        <v>1029.94</v>
      </c>
      <c r="E43">
        <v>1410.36</v>
      </c>
      <c r="F43">
        <v>-380.42</v>
      </c>
      <c r="G43" t="s">
        <v>22</v>
      </c>
      <c r="H43">
        <f t="shared" si="0"/>
        <v>6</v>
      </c>
    </row>
    <row r="44" spans="1:8">
      <c r="A44" s="1">
        <v>46202</v>
      </c>
      <c r="B44" t="s">
        <v>20</v>
      </c>
      <c r="C44" t="s">
        <v>25</v>
      </c>
      <c r="D44">
        <v>2103.6799999999998</v>
      </c>
      <c r="E44">
        <v>1222.1600000000001</v>
      </c>
      <c r="F44">
        <v>881.52</v>
      </c>
      <c r="G44" t="s">
        <v>22</v>
      </c>
      <c r="H44">
        <f t="shared" si="0"/>
        <v>27</v>
      </c>
    </row>
    <row r="45" spans="1:8">
      <c r="A45" s="1">
        <v>46105</v>
      </c>
      <c r="B45" t="s">
        <v>23</v>
      </c>
      <c r="C45" t="s">
        <v>31</v>
      </c>
      <c r="D45">
        <v>1753.53</v>
      </c>
      <c r="E45">
        <v>358.19</v>
      </c>
      <c r="F45">
        <v>1395.34</v>
      </c>
      <c r="G45" t="s">
        <v>22</v>
      </c>
      <c r="H45">
        <f t="shared" si="0"/>
        <v>13</v>
      </c>
    </row>
    <row r="46" spans="1:8">
      <c r="A46" s="1">
        <v>46055</v>
      </c>
      <c r="B46" t="s">
        <v>23</v>
      </c>
      <c r="C46" t="s">
        <v>24</v>
      </c>
      <c r="D46">
        <v>1006.71</v>
      </c>
      <c r="E46">
        <v>1829.94</v>
      </c>
      <c r="F46">
        <v>-823.23</v>
      </c>
      <c r="G46" t="s">
        <v>22</v>
      </c>
      <c r="H46">
        <f t="shared" si="0"/>
        <v>6</v>
      </c>
    </row>
    <row r="47" spans="1:8">
      <c r="A47" s="1">
        <v>46143</v>
      </c>
      <c r="B47" t="s">
        <v>23</v>
      </c>
      <c r="C47" t="s">
        <v>29</v>
      </c>
      <c r="D47">
        <v>2043.95</v>
      </c>
      <c r="E47">
        <v>334.25</v>
      </c>
      <c r="F47">
        <v>1709.7</v>
      </c>
      <c r="G47" t="s">
        <v>22</v>
      </c>
      <c r="H47">
        <f t="shared" si="0"/>
        <v>18</v>
      </c>
    </row>
    <row r="48" spans="1:8">
      <c r="A48" s="1">
        <v>46071</v>
      </c>
      <c r="B48" t="s">
        <v>23</v>
      </c>
      <c r="C48" t="s">
        <v>21</v>
      </c>
      <c r="D48">
        <v>688.54</v>
      </c>
      <c r="E48">
        <v>1518.13</v>
      </c>
      <c r="F48">
        <v>-829.59</v>
      </c>
      <c r="G48" t="s">
        <v>22</v>
      </c>
      <c r="H48">
        <f t="shared" si="0"/>
        <v>8</v>
      </c>
    </row>
    <row r="49" spans="1:8">
      <c r="A49" s="1">
        <v>46064</v>
      </c>
      <c r="B49" t="s">
        <v>23</v>
      </c>
      <c r="C49" t="s">
        <v>24</v>
      </c>
      <c r="D49">
        <v>1550.82</v>
      </c>
      <c r="E49">
        <v>929.21</v>
      </c>
      <c r="F49">
        <v>621.61</v>
      </c>
      <c r="G49" t="s">
        <v>22</v>
      </c>
      <c r="H49">
        <f t="shared" si="0"/>
        <v>7</v>
      </c>
    </row>
    <row r="50" spans="1:8">
      <c r="A50" s="1">
        <v>46198</v>
      </c>
      <c r="B50" t="s">
        <v>20</v>
      </c>
      <c r="C50" t="s">
        <v>27</v>
      </c>
      <c r="D50">
        <v>899.1</v>
      </c>
      <c r="E50">
        <v>1550.03</v>
      </c>
      <c r="F50">
        <v>-650.92999999999995</v>
      </c>
      <c r="G50" t="s">
        <v>22</v>
      </c>
      <c r="H50">
        <f t="shared" si="0"/>
        <v>26</v>
      </c>
    </row>
    <row r="51" spans="1:8">
      <c r="A51" s="1">
        <v>46035</v>
      </c>
      <c r="B51" t="s">
        <v>23</v>
      </c>
      <c r="C51" t="s">
        <v>29</v>
      </c>
      <c r="D51">
        <v>321.41000000000003</v>
      </c>
      <c r="E51">
        <v>2598.2800000000002</v>
      </c>
      <c r="F51">
        <v>-2276.87</v>
      </c>
      <c r="G51" t="s">
        <v>22</v>
      </c>
      <c r="H51">
        <f t="shared" si="0"/>
        <v>3</v>
      </c>
    </row>
    <row r="52" spans="1:8">
      <c r="A52" s="1">
        <v>46178</v>
      </c>
      <c r="B52" t="s">
        <v>20</v>
      </c>
      <c r="C52" t="s">
        <v>28</v>
      </c>
      <c r="D52">
        <v>1631.91</v>
      </c>
      <c r="E52">
        <v>173.44</v>
      </c>
      <c r="F52">
        <v>1458.47</v>
      </c>
      <c r="G52" t="s">
        <v>22</v>
      </c>
      <c r="H52">
        <f t="shared" si="0"/>
        <v>23</v>
      </c>
    </row>
    <row r="53" spans="1:8">
      <c r="A53" s="1">
        <v>46168</v>
      </c>
      <c r="B53" t="s">
        <v>20</v>
      </c>
      <c r="C53" t="s">
        <v>21</v>
      </c>
      <c r="D53">
        <v>307.72000000000003</v>
      </c>
      <c r="E53">
        <v>483.02</v>
      </c>
      <c r="F53">
        <v>-175.29999999999995</v>
      </c>
      <c r="G53" t="s">
        <v>22</v>
      </c>
      <c r="H53">
        <f t="shared" si="0"/>
        <v>22</v>
      </c>
    </row>
    <row r="54" spans="1:8">
      <c r="A54" s="1">
        <v>46049</v>
      </c>
      <c r="B54" t="s">
        <v>20</v>
      </c>
      <c r="C54" t="s">
        <v>28</v>
      </c>
      <c r="D54">
        <v>1338.97</v>
      </c>
      <c r="E54">
        <v>1492.15</v>
      </c>
      <c r="F54">
        <v>-153.18</v>
      </c>
      <c r="G54" t="s">
        <v>22</v>
      </c>
      <c r="H54">
        <f t="shared" si="0"/>
        <v>5</v>
      </c>
    </row>
    <row r="55" spans="1:8">
      <c r="A55" s="1">
        <v>46175</v>
      </c>
      <c r="B55" t="s">
        <v>23</v>
      </c>
      <c r="C55" t="s">
        <v>27</v>
      </c>
      <c r="D55">
        <v>820.05</v>
      </c>
      <c r="E55">
        <v>871.18</v>
      </c>
      <c r="F55">
        <v>-51.13</v>
      </c>
      <c r="G55" t="s">
        <v>33</v>
      </c>
      <c r="H55">
        <f t="shared" si="0"/>
        <v>23</v>
      </c>
    </row>
    <row r="56" spans="1:8">
      <c r="A56" s="1">
        <v>46028</v>
      </c>
      <c r="B56" t="s">
        <v>20</v>
      </c>
      <c r="C56" t="s">
        <v>31</v>
      </c>
      <c r="D56">
        <v>928.77</v>
      </c>
      <c r="E56">
        <v>1917.51</v>
      </c>
      <c r="F56">
        <v>-988.74</v>
      </c>
      <c r="G56" t="s">
        <v>22</v>
      </c>
      <c r="H56">
        <f t="shared" si="0"/>
        <v>2</v>
      </c>
    </row>
    <row r="57" spans="1:8">
      <c r="A57" s="1">
        <v>46125</v>
      </c>
      <c r="B57" t="s">
        <v>23</v>
      </c>
      <c r="C57" t="s">
        <v>29</v>
      </c>
      <c r="D57">
        <v>263.08</v>
      </c>
      <c r="E57">
        <v>1529.65</v>
      </c>
      <c r="F57">
        <v>-1266.57</v>
      </c>
      <c r="G57" t="s">
        <v>22</v>
      </c>
      <c r="H57">
        <f t="shared" si="0"/>
        <v>16</v>
      </c>
    </row>
    <row r="58" spans="1:8">
      <c r="A58" s="1">
        <v>46125</v>
      </c>
      <c r="B58" t="s">
        <v>23</v>
      </c>
      <c r="C58" t="s">
        <v>24</v>
      </c>
      <c r="D58">
        <v>1523.95</v>
      </c>
      <c r="E58">
        <v>1668.68</v>
      </c>
      <c r="F58">
        <v>-144.72999999999999</v>
      </c>
      <c r="G58" t="s">
        <v>22</v>
      </c>
      <c r="H58">
        <f t="shared" si="0"/>
        <v>16</v>
      </c>
    </row>
    <row r="59" spans="1:8">
      <c r="A59" s="1">
        <v>46195</v>
      </c>
      <c r="B59" t="s">
        <v>23</v>
      </c>
      <c r="C59" t="s">
        <v>26</v>
      </c>
      <c r="D59">
        <v>952.04</v>
      </c>
      <c r="E59">
        <v>2314.37</v>
      </c>
      <c r="F59">
        <v>-1362.33</v>
      </c>
      <c r="G59" t="s">
        <v>22</v>
      </c>
      <c r="H59">
        <f t="shared" si="0"/>
        <v>26</v>
      </c>
    </row>
    <row r="60" spans="1:8">
      <c r="A60" s="1">
        <v>46101</v>
      </c>
      <c r="B60" t="s">
        <v>23</v>
      </c>
      <c r="C60" t="s">
        <v>24</v>
      </c>
      <c r="D60">
        <v>1619.41</v>
      </c>
      <c r="E60">
        <v>1044.6600000000001</v>
      </c>
      <c r="F60">
        <v>574.75</v>
      </c>
      <c r="G60" t="s">
        <v>22</v>
      </c>
      <c r="H60">
        <f t="shared" si="0"/>
        <v>12</v>
      </c>
    </row>
    <row r="61" spans="1:8">
      <c r="A61" s="1">
        <v>46162</v>
      </c>
      <c r="B61" t="s">
        <v>23</v>
      </c>
      <c r="C61" t="s">
        <v>31</v>
      </c>
      <c r="D61">
        <v>1740.34</v>
      </c>
      <c r="E61">
        <v>340.96</v>
      </c>
      <c r="F61">
        <v>1399.38</v>
      </c>
      <c r="G61" t="s">
        <v>22</v>
      </c>
      <c r="H61">
        <f t="shared" si="0"/>
        <v>21</v>
      </c>
    </row>
    <row r="62" spans="1:8">
      <c r="A62" s="1">
        <v>46188</v>
      </c>
      <c r="B62" t="s">
        <v>20</v>
      </c>
      <c r="C62" t="s">
        <v>27</v>
      </c>
      <c r="D62">
        <v>573.57000000000005</v>
      </c>
      <c r="E62">
        <v>574.23</v>
      </c>
      <c r="F62">
        <v>-0.66</v>
      </c>
      <c r="G62" t="s">
        <v>22</v>
      </c>
      <c r="H62">
        <f t="shared" si="0"/>
        <v>25</v>
      </c>
    </row>
    <row r="63" spans="1:8">
      <c r="A63" s="1">
        <v>46144</v>
      </c>
      <c r="B63" t="s">
        <v>23</v>
      </c>
      <c r="C63" t="s">
        <v>24</v>
      </c>
      <c r="D63">
        <v>2339.7800000000002</v>
      </c>
      <c r="E63">
        <v>1303.3699999999999</v>
      </c>
      <c r="F63">
        <v>1036.4100000000001</v>
      </c>
      <c r="G63" t="s">
        <v>22</v>
      </c>
      <c r="H63">
        <f t="shared" si="0"/>
        <v>18</v>
      </c>
    </row>
    <row r="64" spans="1:8">
      <c r="A64" s="1">
        <v>46045</v>
      </c>
      <c r="B64" t="s">
        <v>23</v>
      </c>
      <c r="C64" t="s">
        <v>30</v>
      </c>
      <c r="D64">
        <v>1180.1400000000001</v>
      </c>
      <c r="E64">
        <v>1165.76</v>
      </c>
      <c r="F64">
        <v>14.38</v>
      </c>
      <c r="G64" t="s">
        <v>22</v>
      </c>
      <c r="H64">
        <f t="shared" si="0"/>
        <v>4</v>
      </c>
    </row>
    <row r="65" spans="1:8">
      <c r="A65" s="1">
        <v>46135</v>
      </c>
      <c r="B65" t="s">
        <v>23</v>
      </c>
      <c r="C65" t="s">
        <v>27</v>
      </c>
      <c r="D65">
        <v>2222.2399999999998</v>
      </c>
      <c r="E65">
        <v>1624.94</v>
      </c>
      <c r="F65">
        <v>597.29999999999995</v>
      </c>
      <c r="G65" t="s">
        <v>33</v>
      </c>
      <c r="H65">
        <f t="shared" si="0"/>
        <v>17</v>
      </c>
    </row>
    <row r="66" spans="1:8">
      <c r="A66" s="1">
        <v>46077</v>
      </c>
      <c r="B66" t="s">
        <v>23</v>
      </c>
      <c r="C66" t="s">
        <v>25</v>
      </c>
      <c r="D66">
        <v>1992.24</v>
      </c>
      <c r="E66">
        <v>1241.53</v>
      </c>
      <c r="F66">
        <v>750.71</v>
      </c>
      <c r="G66" t="s">
        <v>22</v>
      </c>
      <c r="H66">
        <f t="shared" ref="H66:H129" si="1">WEEKNUM(A66,2)</f>
        <v>9</v>
      </c>
    </row>
    <row r="67" spans="1:8">
      <c r="A67" s="1">
        <v>46140</v>
      </c>
      <c r="B67" t="s">
        <v>23</v>
      </c>
      <c r="C67" t="s">
        <v>28</v>
      </c>
      <c r="D67">
        <v>1856.58</v>
      </c>
      <c r="E67">
        <v>1373.61</v>
      </c>
      <c r="F67">
        <v>482.97</v>
      </c>
      <c r="G67" t="s">
        <v>22</v>
      </c>
      <c r="H67">
        <f t="shared" si="1"/>
        <v>18</v>
      </c>
    </row>
    <row r="68" spans="1:8">
      <c r="A68" s="1">
        <v>46045</v>
      </c>
      <c r="B68" t="s">
        <v>23</v>
      </c>
      <c r="C68" t="s">
        <v>29</v>
      </c>
      <c r="D68">
        <v>2235.2399999999998</v>
      </c>
      <c r="E68">
        <v>1927.41</v>
      </c>
      <c r="F68">
        <v>307.83</v>
      </c>
      <c r="G68" t="s">
        <v>22</v>
      </c>
      <c r="H68">
        <f t="shared" si="1"/>
        <v>4</v>
      </c>
    </row>
    <row r="69" spans="1:8">
      <c r="A69" s="1">
        <v>46196</v>
      </c>
      <c r="B69" t="s">
        <v>20</v>
      </c>
      <c r="C69" t="s">
        <v>30</v>
      </c>
      <c r="D69">
        <v>869.93</v>
      </c>
      <c r="E69">
        <v>586.76</v>
      </c>
      <c r="F69">
        <v>283.17</v>
      </c>
      <c r="G69" t="s">
        <v>22</v>
      </c>
      <c r="H69">
        <f t="shared" si="1"/>
        <v>26</v>
      </c>
    </row>
    <row r="70" spans="1:8">
      <c r="A70" s="1">
        <v>46192</v>
      </c>
      <c r="B70" t="s">
        <v>20</v>
      </c>
      <c r="C70" t="s">
        <v>32</v>
      </c>
      <c r="D70">
        <v>2014.28</v>
      </c>
      <c r="E70">
        <v>1958.4</v>
      </c>
      <c r="F70">
        <v>55.88</v>
      </c>
      <c r="G70" t="s">
        <v>22</v>
      </c>
      <c r="H70">
        <f t="shared" si="1"/>
        <v>25</v>
      </c>
    </row>
    <row r="71" spans="1:8">
      <c r="A71" s="1">
        <v>46073</v>
      </c>
      <c r="B71" t="s">
        <v>23</v>
      </c>
      <c r="C71" t="s">
        <v>31</v>
      </c>
      <c r="D71">
        <v>2438.85</v>
      </c>
      <c r="E71">
        <v>2287.04</v>
      </c>
      <c r="F71">
        <v>151.81</v>
      </c>
      <c r="G71" t="s">
        <v>22</v>
      </c>
      <c r="H71">
        <f t="shared" si="1"/>
        <v>8</v>
      </c>
    </row>
    <row r="72" spans="1:8">
      <c r="A72" s="1">
        <v>46169</v>
      </c>
      <c r="B72" t="s">
        <v>23</v>
      </c>
      <c r="C72" t="s">
        <v>21</v>
      </c>
      <c r="D72">
        <v>1831.27</v>
      </c>
      <c r="E72">
        <v>1785.61</v>
      </c>
      <c r="F72">
        <v>45.66</v>
      </c>
      <c r="G72" t="s">
        <v>22</v>
      </c>
      <c r="H72">
        <f t="shared" si="1"/>
        <v>22</v>
      </c>
    </row>
    <row r="73" spans="1:8">
      <c r="A73" s="1">
        <v>46104</v>
      </c>
      <c r="B73" t="s">
        <v>23</v>
      </c>
      <c r="C73" t="s">
        <v>30</v>
      </c>
      <c r="D73">
        <v>1530.36</v>
      </c>
      <c r="E73">
        <v>2100.36</v>
      </c>
      <c r="F73">
        <v>-570</v>
      </c>
      <c r="G73" t="s">
        <v>22</v>
      </c>
      <c r="H73">
        <f t="shared" si="1"/>
        <v>13</v>
      </c>
    </row>
    <row r="74" spans="1:8">
      <c r="A74" s="1">
        <v>46030</v>
      </c>
      <c r="B74" t="s">
        <v>23</v>
      </c>
      <c r="C74" t="s">
        <v>26</v>
      </c>
      <c r="D74">
        <v>938.03</v>
      </c>
      <c r="E74">
        <v>339.02</v>
      </c>
      <c r="F74">
        <v>599.01</v>
      </c>
      <c r="G74" t="s">
        <v>22</v>
      </c>
      <c r="H74">
        <f t="shared" si="1"/>
        <v>2</v>
      </c>
    </row>
    <row r="75" spans="1:8">
      <c r="A75" s="1">
        <v>46111</v>
      </c>
      <c r="B75" t="s">
        <v>23</v>
      </c>
      <c r="C75" t="s">
        <v>27</v>
      </c>
      <c r="D75">
        <v>499.23</v>
      </c>
      <c r="E75">
        <v>401.3</v>
      </c>
      <c r="F75">
        <v>97.93</v>
      </c>
      <c r="G75" t="s">
        <v>22</v>
      </c>
      <c r="H75">
        <f t="shared" si="1"/>
        <v>14</v>
      </c>
    </row>
    <row r="76" spans="1:8">
      <c r="A76" s="1">
        <v>46045</v>
      </c>
      <c r="B76" t="s">
        <v>20</v>
      </c>
      <c r="C76" t="s">
        <v>24</v>
      </c>
      <c r="D76">
        <v>1215.8399999999999</v>
      </c>
      <c r="E76">
        <v>1803.35</v>
      </c>
      <c r="F76">
        <v>-587.51</v>
      </c>
      <c r="G76" t="s">
        <v>22</v>
      </c>
      <c r="H76">
        <f t="shared" si="1"/>
        <v>4</v>
      </c>
    </row>
    <row r="77" spans="1:8">
      <c r="A77" s="1">
        <v>46091</v>
      </c>
      <c r="B77" t="s">
        <v>20</v>
      </c>
      <c r="C77" t="s">
        <v>25</v>
      </c>
      <c r="D77">
        <v>1468.85</v>
      </c>
      <c r="E77">
        <v>213.86</v>
      </c>
      <c r="F77">
        <v>1254.99</v>
      </c>
      <c r="G77" t="s">
        <v>22</v>
      </c>
      <c r="H77">
        <f t="shared" si="1"/>
        <v>11</v>
      </c>
    </row>
    <row r="78" spans="1:8">
      <c r="A78" s="1">
        <v>46105</v>
      </c>
      <c r="B78" t="s">
        <v>23</v>
      </c>
      <c r="C78" t="s">
        <v>30</v>
      </c>
      <c r="D78">
        <v>1181.05</v>
      </c>
      <c r="E78">
        <v>1012.08</v>
      </c>
      <c r="F78">
        <v>168.97</v>
      </c>
      <c r="G78" t="s">
        <v>22</v>
      </c>
      <c r="H78">
        <f t="shared" si="1"/>
        <v>13</v>
      </c>
    </row>
    <row r="79" spans="1:8">
      <c r="A79" s="1">
        <v>46143</v>
      </c>
      <c r="B79" t="s">
        <v>20</v>
      </c>
      <c r="C79" t="s">
        <v>31</v>
      </c>
      <c r="D79">
        <v>579.49</v>
      </c>
      <c r="E79">
        <v>697.3</v>
      </c>
      <c r="F79">
        <v>-117.81</v>
      </c>
      <c r="G79" t="s">
        <v>22</v>
      </c>
      <c r="H79">
        <f t="shared" si="1"/>
        <v>18</v>
      </c>
    </row>
    <row r="80" spans="1:8">
      <c r="A80" s="1">
        <v>46133</v>
      </c>
      <c r="B80" t="s">
        <v>23</v>
      </c>
      <c r="C80" t="s">
        <v>29</v>
      </c>
      <c r="D80">
        <v>2520.0500000000002</v>
      </c>
      <c r="E80">
        <v>716.35</v>
      </c>
      <c r="F80">
        <v>1803.7</v>
      </c>
      <c r="G80" t="s">
        <v>22</v>
      </c>
      <c r="H80">
        <f t="shared" si="1"/>
        <v>17</v>
      </c>
    </row>
    <row r="81" spans="1:8">
      <c r="A81" s="1">
        <v>46108</v>
      </c>
      <c r="B81" t="s">
        <v>20</v>
      </c>
      <c r="C81" t="s">
        <v>32</v>
      </c>
      <c r="D81">
        <v>1570.33</v>
      </c>
      <c r="E81">
        <v>1430.72</v>
      </c>
      <c r="F81">
        <v>139.61000000000001</v>
      </c>
      <c r="G81" t="s">
        <v>22</v>
      </c>
      <c r="H81">
        <f t="shared" si="1"/>
        <v>13</v>
      </c>
    </row>
    <row r="82" spans="1:8">
      <c r="A82" s="1">
        <v>46162</v>
      </c>
      <c r="B82" t="s">
        <v>20</v>
      </c>
      <c r="C82" t="s">
        <v>30</v>
      </c>
      <c r="D82">
        <v>2131.34</v>
      </c>
      <c r="E82">
        <v>1465.47</v>
      </c>
      <c r="F82">
        <v>665.87000000000012</v>
      </c>
      <c r="G82" t="s">
        <v>22</v>
      </c>
      <c r="H82">
        <f t="shared" si="1"/>
        <v>21</v>
      </c>
    </row>
    <row r="83" spans="1:8">
      <c r="A83" s="1">
        <v>46098</v>
      </c>
      <c r="B83" t="s">
        <v>20</v>
      </c>
      <c r="C83" t="s">
        <v>21</v>
      </c>
      <c r="D83">
        <v>1147.5999999999999</v>
      </c>
      <c r="E83">
        <v>1517.62</v>
      </c>
      <c r="F83">
        <v>-370.02</v>
      </c>
      <c r="G83" t="s">
        <v>33</v>
      </c>
      <c r="H83">
        <f t="shared" si="1"/>
        <v>12</v>
      </c>
    </row>
    <row r="84" spans="1:8">
      <c r="A84" s="1">
        <v>46176</v>
      </c>
      <c r="B84" t="s">
        <v>20</v>
      </c>
      <c r="C84" t="s">
        <v>25</v>
      </c>
      <c r="D84">
        <v>2134.8200000000002</v>
      </c>
      <c r="E84">
        <v>2095.4699999999998</v>
      </c>
      <c r="F84">
        <v>39.35</v>
      </c>
      <c r="G84" t="s">
        <v>22</v>
      </c>
      <c r="H84">
        <f t="shared" si="1"/>
        <v>23</v>
      </c>
    </row>
    <row r="85" spans="1:8">
      <c r="A85" s="1">
        <v>46100</v>
      </c>
      <c r="B85" t="s">
        <v>20</v>
      </c>
      <c r="C85" t="s">
        <v>25</v>
      </c>
      <c r="D85">
        <v>1678.9</v>
      </c>
      <c r="E85">
        <v>604.22</v>
      </c>
      <c r="F85">
        <v>1074.68</v>
      </c>
      <c r="G85" t="s">
        <v>22</v>
      </c>
      <c r="H85">
        <f t="shared" si="1"/>
        <v>12</v>
      </c>
    </row>
    <row r="86" spans="1:8">
      <c r="A86" s="1">
        <v>46076</v>
      </c>
      <c r="B86" t="s">
        <v>23</v>
      </c>
      <c r="C86" t="s">
        <v>32</v>
      </c>
      <c r="D86">
        <v>2287.2800000000002</v>
      </c>
      <c r="E86">
        <v>2298.06</v>
      </c>
      <c r="F86">
        <v>-10.779999999999745</v>
      </c>
      <c r="G86" t="s">
        <v>22</v>
      </c>
      <c r="H86">
        <f t="shared" si="1"/>
        <v>9</v>
      </c>
    </row>
    <row r="87" spans="1:8">
      <c r="A87" s="1">
        <v>46157</v>
      </c>
      <c r="B87" t="s">
        <v>23</v>
      </c>
      <c r="C87" t="s">
        <v>27</v>
      </c>
      <c r="D87">
        <v>2233.12</v>
      </c>
      <c r="E87">
        <v>421.91</v>
      </c>
      <c r="F87">
        <v>1811.21</v>
      </c>
      <c r="G87" t="s">
        <v>22</v>
      </c>
      <c r="H87">
        <f t="shared" si="1"/>
        <v>20</v>
      </c>
    </row>
    <row r="88" spans="1:8">
      <c r="A88" s="1">
        <v>46140</v>
      </c>
      <c r="B88" t="s">
        <v>20</v>
      </c>
      <c r="C88" t="s">
        <v>30</v>
      </c>
      <c r="D88">
        <v>1468.78</v>
      </c>
      <c r="E88">
        <v>1571.29</v>
      </c>
      <c r="F88">
        <v>-102.51</v>
      </c>
      <c r="G88" t="s">
        <v>22</v>
      </c>
      <c r="H88">
        <f t="shared" si="1"/>
        <v>18</v>
      </c>
    </row>
    <row r="89" spans="1:8">
      <c r="A89" s="1">
        <v>46189</v>
      </c>
      <c r="B89" t="s">
        <v>20</v>
      </c>
      <c r="C89" t="s">
        <v>27</v>
      </c>
      <c r="D89">
        <v>1153.3900000000001</v>
      </c>
      <c r="E89">
        <v>1333.72</v>
      </c>
      <c r="F89">
        <v>-180.33</v>
      </c>
      <c r="G89" t="s">
        <v>22</v>
      </c>
      <c r="H89">
        <f t="shared" si="1"/>
        <v>25</v>
      </c>
    </row>
    <row r="90" spans="1:8">
      <c r="A90" s="1">
        <v>46080</v>
      </c>
      <c r="B90" t="s">
        <v>20</v>
      </c>
      <c r="C90" t="s">
        <v>26</v>
      </c>
      <c r="D90">
        <v>872.26</v>
      </c>
      <c r="E90">
        <v>1455.07</v>
      </c>
      <c r="F90">
        <v>-582.80999999999995</v>
      </c>
      <c r="G90" t="s">
        <v>22</v>
      </c>
      <c r="H90">
        <f t="shared" si="1"/>
        <v>9</v>
      </c>
    </row>
    <row r="91" spans="1:8">
      <c r="A91" s="1">
        <v>46049</v>
      </c>
      <c r="B91" t="s">
        <v>20</v>
      </c>
      <c r="C91" t="s">
        <v>32</v>
      </c>
      <c r="D91">
        <v>738.17</v>
      </c>
      <c r="E91">
        <v>1031.27</v>
      </c>
      <c r="F91">
        <v>-293.10000000000002</v>
      </c>
      <c r="G91" t="s">
        <v>22</v>
      </c>
      <c r="H91">
        <f t="shared" si="1"/>
        <v>5</v>
      </c>
    </row>
    <row r="92" spans="1:8">
      <c r="A92" s="1">
        <v>46128</v>
      </c>
      <c r="B92" t="s">
        <v>23</v>
      </c>
      <c r="C92" t="s">
        <v>28</v>
      </c>
      <c r="D92">
        <v>1700.05</v>
      </c>
      <c r="E92">
        <v>1674.63</v>
      </c>
      <c r="F92">
        <v>25.42</v>
      </c>
      <c r="G92" t="s">
        <v>22</v>
      </c>
      <c r="H92">
        <f t="shared" si="1"/>
        <v>16</v>
      </c>
    </row>
    <row r="93" spans="1:8">
      <c r="A93" s="1">
        <v>46099</v>
      </c>
      <c r="B93" t="s">
        <v>23</v>
      </c>
      <c r="C93" t="s">
        <v>25</v>
      </c>
      <c r="D93">
        <v>2410.79</v>
      </c>
      <c r="E93">
        <v>2269.06</v>
      </c>
      <c r="F93">
        <v>141.72999999999999</v>
      </c>
      <c r="G93" t="s">
        <v>22</v>
      </c>
      <c r="H93">
        <f t="shared" si="1"/>
        <v>12</v>
      </c>
    </row>
    <row r="94" spans="1:8">
      <c r="A94" s="1">
        <v>46144</v>
      </c>
      <c r="B94" t="s">
        <v>23</v>
      </c>
      <c r="C94" t="s">
        <v>31</v>
      </c>
      <c r="D94">
        <v>1452.19</v>
      </c>
      <c r="E94">
        <v>1761.1</v>
      </c>
      <c r="F94">
        <v>-308.91000000000003</v>
      </c>
      <c r="G94" t="s">
        <v>22</v>
      </c>
      <c r="H94">
        <f t="shared" si="1"/>
        <v>18</v>
      </c>
    </row>
    <row r="95" spans="1:8">
      <c r="A95" s="1">
        <v>46125</v>
      </c>
      <c r="B95" t="s">
        <v>23</v>
      </c>
      <c r="C95" t="s">
        <v>21</v>
      </c>
      <c r="D95">
        <v>533.29999999999995</v>
      </c>
      <c r="E95">
        <v>2096.9</v>
      </c>
      <c r="F95">
        <v>-1563.6</v>
      </c>
      <c r="G95" t="s">
        <v>22</v>
      </c>
      <c r="H95">
        <f t="shared" si="1"/>
        <v>16</v>
      </c>
    </row>
    <row r="96" spans="1:8">
      <c r="A96" s="1">
        <v>46094</v>
      </c>
      <c r="B96" t="s">
        <v>20</v>
      </c>
      <c r="C96" t="s">
        <v>21</v>
      </c>
      <c r="D96">
        <v>721.06</v>
      </c>
      <c r="E96">
        <v>613.63</v>
      </c>
      <c r="F96">
        <v>107.43</v>
      </c>
      <c r="G96" t="s">
        <v>22</v>
      </c>
      <c r="H96">
        <f t="shared" si="1"/>
        <v>11</v>
      </c>
    </row>
    <row r="97" spans="1:8">
      <c r="A97" s="1">
        <v>46094</v>
      </c>
      <c r="B97" t="s">
        <v>23</v>
      </c>
      <c r="C97" t="s">
        <v>30</v>
      </c>
      <c r="D97">
        <v>2429.8000000000002</v>
      </c>
      <c r="E97">
        <v>2190.71</v>
      </c>
      <c r="F97">
        <v>239.09</v>
      </c>
      <c r="G97" t="s">
        <v>22</v>
      </c>
      <c r="H97">
        <f t="shared" si="1"/>
        <v>11</v>
      </c>
    </row>
    <row r="98" spans="1:8">
      <c r="A98" s="1">
        <v>46037</v>
      </c>
      <c r="B98" t="s">
        <v>23</v>
      </c>
      <c r="C98" t="s">
        <v>24</v>
      </c>
      <c r="D98">
        <v>772.85</v>
      </c>
      <c r="E98">
        <v>1149.8900000000001</v>
      </c>
      <c r="F98">
        <v>-377.04</v>
      </c>
      <c r="G98" t="s">
        <v>22</v>
      </c>
      <c r="H98">
        <f t="shared" si="1"/>
        <v>3</v>
      </c>
    </row>
    <row r="99" spans="1:8">
      <c r="A99" s="1">
        <v>46042</v>
      </c>
      <c r="B99" t="s">
        <v>20</v>
      </c>
      <c r="C99" t="s">
        <v>30</v>
      </c>
      <c r="D99">
        <v>304.25</v>
      </c>
      <c r="E99">
        <v>1960.37</v>
      </c>
      <c r="F99">
        <v>-1656.12</v>
      </c>
      <c r="G99" t="s">
        <v>22</v>
      </c>
      <c r="H99">
        <f t="shared" si="1"/>
        <v>4</v>
      </c>
    </row>
    <row r="100" spans="1:8">
      <c r="A100" s="1">
        <v>46036</v>
      </c>
      <c r="B100" t="s">
        <v>23</v>
      </c>
      <c r="C100" t="s">
        <v>24</v>
      </c>
      <c r="D100">
        <v>340.36</v>
      </c>
      <c r="E100">
        <v>1965.77</v>
      </c>
      <c r="F100">
        <v>-1625.41</v>
      </c>
      <c r="G100" t="s">
        <v>22</v>
      </c>
      <c r="H100">
        <f t="shared" si="1"/>
        <v>3</v>
      </c>
    </row>
    <row r="101" spans="1:8">
      <c r="A101" s="1">
        <v>46197</v>
      </c>
      <c r="B101" t="s">
        <v>23</v>
      </c>
      <c r="C101" t="s">
        <v>31</v>
      </c>
      <c r="D101">
        <v>774.42</v>
      </c>
      <c r="E101">
        <v>1126.1300000000001</v>
      </c>
      <c r="F101">
        <v>-351.71</v>
      </c>
      <c r="G101" t="s">
        <v>22</v>
      </c>
      <c r="H101">
        <f t="shared" si="1"/>
        <v>26</v>
      </c>
    </row>
    <row r="102" spans="1:8">
      <c r="A102" s="1">
        <v>46072</v>
      </c>
      <c r="B102" t="s">
        <v>23</v>
      </c>
      <c r="C102" t="s">
        <v>30</v>
      </c>
      <c r="D102">
        <v>547.14</v>
      </c>
      <c r="E102">
        <v>657.46</v>
      </c>
      <c r="F102">
        <v>-110.32</v>
      </c>
      <c r="G102" t="s">
        <v>22</v>
      </c>
      <c r="H102">
        <f t="shared" si="1"/>
        <v>8</v>
      </c>
    </row>
    <row r="103" spans="1:8">
      <c r="A103" s="1">
        <v>46134</v>
      </c>
      <c r="B103" t="s">
        <v>20</v>
      </c>
      <c r="C103" t="s">
        <v>28</v>
      </c>
      <c r="D103">
        <v>370.37</v>
      </c>
      <c r="E103">
        <v>424.57</v>
      </c>
      <c r="F103">
        <v>-54.2</v>
      </c>
      <c r="G103" t="s">
        <v>22</v>
      </c>
      <c r="H103">
        <f t="shared" si="1"/>
        <v>17</v>
      </c>
    </row>
    <row r="104" spans="1:8">
      <c r="A104" s="1">
        <v>46083</v>
      </c>
      <c r="B104" t="s">
        <v>23</v>
      </c>
      <c r="C104" t="s">
        <v>24</v>
      </c>
      <c r="D104">
        <v>246.52</v>
      </c>
      <c r="E104">
        <v>1494.61</v>
      </c>
      <c r="F104">
        <v>-1248.0899999999999</v>
      </c>
      <c r="G104" t="s">
        <v>22</v>
      </c>
      <c r="H104">
        <f t="shared" si="1"/>
        <v>10</v>
      </c>
    </row>
    <row r="105" spans="1:8">
      <c r="A105" s="1">
        <v>46044</v>
      </c>
      <c r="B105" t="s">
        <v>20</v>
      </c>
      <c r="C105" t="s">
        <v>25</v>
      </c>
      <c r="D105">
        <v>292.31</v>
      </c>
      <c r="E105">
        <v>1735.32</v>
      </c>
      <c r="F105">
        <v>-1443.01</v>
      </c>
      <c r="G105" t="s">
        <v>22</v>
      </c>
      <c r="H105">
        <f t="shared" si="1"/>
        <v>4</v>
      </c>
    </row>
    <row r="106" spans="1:8">
      <c r="A106" s="1">
        <v>46114</v>
      </c>
      <c r="B106" t="s">
        <v>20</v>
      </c>
      <c r="C106" t="s">
        <v>25</v>
      </c>
      <c r="D106">
        <v>384.5</v>
      </c>
      <c r="E106">
        <v>2092.9</v>
      </c>
      <c r="F106">
        <v>-1708.4</v>
      </c>
      <c r="G106" t="s">
        <v>22</v>
      </c>
      <c r="H106">
        <f t="shared" si="1"/>
        <v>14</v>
      </c>
    </row>
    <row r="107" spans="1:8">
      <c r="A107" s="1">
        <v>46097</v>
      </c>
      <c r="B107" t="s">
        <v>23</v>
      </c>
      <c r="C107" t="s">
        <v>32</v>
      </c>
      <c r="D107">
        <v>978.52</v>
      </c>
      <c r="E107">
        <v>2459.38</v>
      </c>
      <c r="F107">
        <v>-1480.86</v>
      </c>
      <c r="G107" t="s">
        <v>22</v>
      </c>
      <c r="H107">
        <f t="shared" si="1"/>
        <v>12</v>
      </c>
    </row>
    <row r="108" spans="1:8">
      <c r="A108" s="1">
        <v>46169</v>
      </c>
      <c r="B108" t="s">
        <v>20</v>
      </c>
      <c r="C108" t="s">
        <v>24</v>
      </c>
      <c r="D108">
        <v>963.24</v>
      </c>
      <c r="E108">
        <v>1735.79</v>
      </c>
      <c r="F108">
        <v>-772.55</v>
      </c>
      <c r="G108" t="s">
        <v>22</v>
      </c>
      <c r="H108">
        <f t="shared" si="1"/>
        <v>22</v>
      </c>
    </row>
    <row r="109" spans="1:8">
      <c r="A109" s="1">
        <v>46055</v>
      </c>
      <c r="B109" t="s">
        <v>23</v>
      </c>
      <c r="C109" t="s">
        <v>26</v>
      </c>
      <c r="D109">
        <v>1170.3599999999999</v>
      </c>
      <c r="E109">
        <v>596.11</v>
      </c>
      <c r="F109">
        <v>574.25</v>
      </c>
      <c r="G109" t="s">
        <v>22</v>
      </c>
      <c r="H109">
        <f t="shared" si="1"/>
        <v>6</v>
      </c>
    </row>
    <row r="110" spans="1:8">
      <c r="A110" s="1">
        <v>46170</v>
      </c>
      <c r="B110" t="s">
        <v>20</v>
      </c>
      <c r="C110" t="s">
        <v>24</v>
      </c>
      <c r="D110">
        <v>368.43</v>
      </c>
      <c r="E110">
        <v>160.65</v>
      </c>
      <c r="F110">
        <v>207.78</v>
      </c>
      <c r="G110" t="s">
        <v>22</v>
      </c>
      <c r="H110">
        <f t="shared" si="1"/>
        <v>22</v>
      </c>
    </row>
    <row r="111" spans="1:8">
      <c r="A111" s="1">
        <v>46065</v>
      </c>
      <c r="B111" t="s">
        <v>23</v>
      </c>
      <c r="C111" t="s">
        <v>29</v>
      </c>
      <c r="D111">
        <v>1281.21</v>
      </c>
      <c r="E111">
        <v>1625.15</v>
      </c>
      <c r="F111">
        <v>-343.94</v>
      </c>
      <c r="G111" t="s">
        <v>22</v>
      </c>
      <c r="H111">
        <f t="shared" si="1"/>
        <v>7</v>
      </c>
    </row>
    <row r="112" spans="1:8">
      <c r="A112" s="1">
        <v>46135</v>
      </c>
      <c r="B112" t="s">
        <v>23</v>
      </c>
      <c r="C112" t="s">
        <v>29</v>
      </c>
      <c r="D112">
        <v>1375.63</v>
      </c>
      <c r="E112">
        <v>1551.02</v>
      </c>
      <c r="F112">
        <v>-175.39</v>
      </c>
      <c r="G112" t="s">
        <v>22</v>
      </c>
      <c r="H112">
        <f t="shared" si="1"/>
        <v>17</v>
      </c>
    </row>
    <row r="113" spans="1:8">
      <c r="A113" s="1">
        <v>46044</v>
      </c>
      <c r="B113" t="s">
        <v>23</v>
      </c>
      <c r="C113" t="s">
        <v>27</v>
      </c>
      <c r="D113">
        <v>628.55999999999995</v>
      </c>
      <c r="E113">
        <v>2510.08</v>
      </c>
      <c r="F113">
        <v>-1881.52</v>
      </c>
      <c r="G113" t="s">
        <v>22</v>
      </c>
      <c r="H113">
        <f t="shared" si="1"/>
        <v>4</v>
      </c>
    </row>
    <row r="114" spans="1:8">
      <c r="A114" s="1">
        <v>46037</v>
      </c>
      <c r="B114" t="s">
        <v>23</v>
      </c>
      <c r="C114" t="s">
        <v>32</v>
      </c>
      <c r="D114">
        <v>958.83</v>
      </c>
      <c r="E114">
        <v>2004.47</v>
      </c>
      <c r="F114">
        <v>-1045.6400000000001</v>
      </c>
      <c r="G114" t="s">
        <v>22</v>
      </c>
      <c r="H114">
        <f t="shared" si="1"/>
        <v>3</v>
      </c>
    </row>
    <row r="115" spans="1:8">
      <c r="A115" s="1">
        <v>46171</v>
      </c>
      <c r="B115" t="s">
        <v>23</v>
      </c>
      <c r="C115" t="s">
        <v>28</v>
      </c>
      <c r="D115">
        <v>601.29999999999995</v>
      </c>
      <c r="E115">
        <v>862.31</v>
      </c>
      <c r="F115">
        <v>-261.01</v>
      </c>
      <c r="G115" t="s">
        <v>22</v>
      </c>
      <c r="H115">
        <f t="shared" si="1"/>
        <v>22</v>
      </c>
    </row>
    <row r="116" spans="1:8">
      <c r="A116" s="1">
        <v>46078</v>
      </c>
      <c r="B116" t="s">
        <v>23</v>
      </c>
      <c r="C116" t="s">
        <v>29</v>
      </c>
      <c r="D116">
        <v>1306.76</v>
      </c>
      <c r="E116">
        <v>809.55</v>
      </c>
      <c r="F116">
        <v>497.21</v>
      </c>
      <c r="G116" t="s">
        <v>22</v>
      </c>
      <c r="H116">
        <f t="shared" si="1"/>
        <v>9</v>
      </c>
    </row>
    <row r="117" spans="1:8">
      <c r="A117" s="1">
        <v>46042</v>
      </c>
      <c r="B117" t="s">
        <v>20</v>
      </c>
      <c r="C117" t="s">
        <v>24</v>
      </c>
      <c r="D117">
        <v>2003.05</v>
      </c>
      <c r="E117">
        <v>1268.46</v>
      </c>
      <c r="F117">
        <v>734.59</v>
      </c>
      <c r="G117" t="s">
        <v>22</v>
      </c>
      <c r="H117">
        <f t="shared" si="1"/>
        <v>4</v>
      </c>
    </row>
    <row r="118" spans="1:8">
      <c r="A118" s="1">
        <v>46112</v>
      </c>
      <c r="B118" t="s">
        <v>23</v>
      </c>
      <c r="C118" t="s">
        <v>25</v>
      </c>
      <c r="D118">
        <v>2214.02</v>
      </c>
      <c r="E118">
        <v>1759.91</v>
      </c>
      <c r="F118">
        <v>454.11</v>
      </c>
      <c r="G118" t="s">
        <v>22</v>
      </c>
      <c r="H118">
        <f t="shared" si="1"/>
        <v>14</v>
      </c>
    </row>
    <row r="119" spans="1:8">
      <c r="A119" s="1">
        <v>46106</v>
      </c>
      <c r="B119" t="s">
        <v>23</v>
      </c>
      <c r="C119" t="s">
        <v>28</v>
      </c>
      <c r="D119">
        <v>403.33</v>
      </c>
      <c r="E119">
        <v>1541.41</v>
      </c>
      <c r="F119">
        <v>-1138.08</v>
      </c>
      <c r="G119" t="s">
        <v>22</v>
      </c>
      <c r="H119">
        <f t="shared" si="1"/>
        <v>13</v>
      </c>
    </row>
    <row r="120" spans="1:8">
      <c r="A120" s="1">
        <v>46094</v>
      </c>
      <c r="B120" t="s">
        <v>20</v>
      </c>
      <c r="C120" t="s">
        <v>32</v>
      </c>
      <c r="D120">
        <v>1886.91</v>
      </c>
      <c r="E120">
        <v>867.73</v>
      </c>
      <c r="F120">
        <v>1019.18</v>
      </c>
      <c r="G120" t="s">
        <v>22</v>
      </c>
      <c r="H120">
        <f t="shared" si="1"/>
        <v>11</v>
      </c>
    </row>
    <row r="121" spans="1:8">
      <c r="A121" s="1">
        <v>46153</v>
      </c>
      <c r="B121" t="s">
        <v>20</v>
      </c>
      <c r="C121" t="s">
        <v>31</v>
      </c>
      <c r="D121">
        <v>1018.58</v>
      </c>
      <c r="E121">
        <v>1585.79</v>
      </c>
      <c r="F121">
        <v>-567.21</v>
      </c>
      <c r="G121" t="s">
        <v>22</v>
      </c>
      <c r="H121">
        <f t="shared" si="1"/>
        <v>20</v>
      </c>
    </row>
    <row r="122" spans="1:8">
      <c r="A122" s="1">
        <v>46148</v>
      </c>
      <c r="B122" t="s">
        <v>20</v>
      </c>
      <c r="C122" t="s">
        <v>29</v>
      </c>
      <c r="D122">
        <v>789.38</v>
      </c>
      <c r="E122">
        <v>1083.43</v>
      </c>
      <c r="F122">
        <v>-294.05</v>
      </c>
      <c r="G122" t="s">
        <v>22</v>
      </c>
      <c r="H122">
        <f t="shared" si="1"/>
        <v>19</v>
      </c>
    </row>
    <row r="123" spans="1:8">
      <c r="A123" s="1">
        <v>46073</v>
      </c>
      <c r="B123" t="s">
        <v>23</v>
      </c>
      <c r="C123" t="s">
        <v>32</v>
      </c>
      <c r="D123">
        <v>2030.89</v>
      </c>
      <c r="E123">
        <v>1105.3</v>
      </c>
      <c r="F123">
        <v>925.59</v>
      </c>
      <c r="G123" t="s">
        <v>22</v>
      </c>
      <c r="H123">
        <f t="shared" si="1"/>
        <v>8</v>
      </c>
    </row>
    <row r="124" spans="1:8">
      <c r="A124" s="1">
        <v>46144</v>
      </c>
      <c r="B124" t="s">
        <v>20</v>
      </c>
      <c r="C124" t="s">
        <v>31</v>
      </c>
      <c r="D124">
        <v>1506.12</v>
      </c>
      <c r="E124">
        <v>291.36</v>
      </c>
      <c r="F124">
        <v>1214.76</v>
      </c>
      <c r="G124" t="s">
        <v>22</v>
      </c>
      <c r="H124">
        <f t="shared" si="1"/>
        <v>18</v>
      </c>
    </row>
    <row r="125" spans="1:8">
      <c r="A125" s="1">
        <v>46147</v>
      </c>
      <c r="B125" t="s">
        <v>20</v>
      </c>
      <c r="C125" t="s">
        <v>26</v>
      </c>
      <c r="D125">
        <v>483.11</v>
      </c>
      <c r="E125">
        <v>1090.77</v>
      </c>
      <c r="F125">
        <v>-607.66</v>
      </c>
      <c r="G125" t="s">
        <v>22</v>
      </c>
      <c r="H125">
        <f t="shared" si="1"/>
        <v>19</v>
      </c>
    </row>
    <row r="126" spans="1:8">
      <c r="A126" s="1">
        <v>46077</v>
      </c>
      <c r="B126" t="s">
        <v>20</v>
      </c>
      <c r="C126" t="s">
        <v>29</v>
      </c>
      <c r="D126">
        <v>1570.04</v>
      </c>
      <c r="E126">
        <v>1482.17</v>
      </c>
      <c r="F126">
        <v>87.87</v>
      </c>
      <c r="G126" t="s">
        <v>22</v>
      </c>
      <c r="H126">
        <f t="shared" si="1"/>
        <v>9</v>
      </c>
    </row>
    <row r="127" spans="1:8">
      <c r="A127" s="1">
        <v>46056</v>
      </c>
      <c r="B127" t="s">
        <v>20</v>
      </c>
      <c r="C127" t="s">
        <v>21</v>
      </c>
      <c r="D127">
        <v>1238.25</v>
      </c>
      <c r="E127">
        <v>2022.65</v>
      </c>
      <c r="F127">
        <v>-784.4</v>
      </c>
      <c r="G127" t="s">
        <v>22</v>
      </c>
      <c r="H127">
        <f t="shared" si="1"/>
        <v>6</v>
      </c>
    </row>
    <row r="128" spans="1:8">
      <c r="A128" s="1">
        <v>46066</v>
      </c>
      <c r="B128" t="s">
        <v>20</v>
      </c>
      <c r="C128" t="s">
        <v>21</v>
      </c>
      <c r="D128">
        <v>295.92</v>
      </c>
      <c r="E128">
        <v>628.52</v>
      </c>
      <c r="F128">
        <v>-332.6</v>
      </c>
      <c r="G128" t="s">
        <v>22</v>
      </c>
      <c r="H128">
        <f t="shared" si="1"/>
        <v>7</v>
      </c>
    </row>
    <row r="129" spans="1:8">
      <c r="A129" s="1">
        <v>46070</v>
      </c>
      <c r="B129" t="s">
        <v>23</v>
      </c>
      <c r="C129" t="s">
        <v>24</v>
      </c>
      <c r="D129">
        <v>451.04</v>
      </c>
      <c r="E129">
        <v>585.98</v>
      </c>
      <c r="F129">
        <v>-134.94</v>
      </c>
      <c r="G129" t="s">
        <v>22</v>
      </c>
      <c r="H129">
        <f t="shared" si="1"/>
        <v>8</v>
      </c>
    </row>
    <row r="130" spans="1:8">
      <c r="A130" s="1">
        <v>46128</v>
      </c>
      <c r="B130" t="s">
        <v>23</v>
      </c>
      <c r="C130" t="s">
        <v>21</v>
      </c>
      <c r="D130">
        <v>424.23</v>
      </c>
      <c r="E130">
        <v>1738.37</v>
      </c>
      <c r="F130">
        <v>-1314.14</v>
      </c>
      <c r="G130" t="s">
        <v>22</v>
      </c>
      <c r="H130">
        <f t="shared" ref="H130:H193" si="2">WEEKNUM(A130,2)</f>
        <v>16</v>
      </c>
    </row>
    <row r="131" spans="1:8">
      <c r="A131" s="1">
        <v>46080</v>
      </c>
      <c r="B131" t="s">
        <v>20</v>
      </c>
      <c r="C131" t="s">
        <v>24</v>
      </c>
      <c r="D131">
        <v>1627.9</v>
      </c>
      <c r="E131">
        <v>1501.32</v>
      </c>
      <c r="F131">
        <v>126.58</v>
      </c>
      <c r="G131" t="s">
        <v>22</v>
      </c>
      <c r="H131">
        <f t="shared" si="2"/>
        <v>9</v>
      </c>
    </row>
    <row r="132" spans="1:8">
      <c r="A132" s="1">
        <v>46079</v>
      </c>
      <c r="B132" t="s">
        <v>23</v>
      </c>
      <c r="C132" t="s">
        <v>25</v>
      </c>
      <c r="D132">
        <v>1779.75</v>
      </c>
      <c r="E132">
        <v>858.75</v>
      </c>
      <c r="F132">
        <v>921</v>
      </c>
      <c r="G132" t="s">
        <v>22</v>
      </c>
      <c r="H132">
        <f t="shared" si="2"/>
        <v>9</v>
      </c>
    </row>
    <row r="133" spans="1:8">
      <c r="A133" s="1">
        <v>46092</v>
      </c>
      <c r="B133" t="s">
        <v>23</v>
      </c>
      <c r="C133" t="s">
        <v>24</v>
      </c>
      <c r="D133">
        <v>2488.62</v>
      </c>
      <c r="E133">
        <v>1848.37</v>
      </c>
      <c r="F133">
        <v>640.25</v>
      </c>
      <c r="G133" t="s">
        <v>22</v>
      </c>
      <c r="H133">
        <f t="shared" si="2"/>
        <v>11</v>
      </c>
    </row>
    <row r="134" spans="1:8">
      <c r="A134" s="1">
        <v>46064</v>
      </c>
      <c r="B134" t="s">
        <v>20</v>
      </c>
      <c r="C134" t="s">
        <v>26</v>
      </c>
      <c r="D134">
        <v>1326.83</v>
      </c>
      <c r="E134">
        <v>1112.26</v>
      </c>
      <c r="F134">
        <v>214.57</v>
      </c>
      <c r="G134" t="s">
        <v>22</v>
      </c>
      <c r="H134">
        <f t="shared" si="2"/>
        <v>7</v>
      </c>
    </row>
    <row r="135" spans="1:8">
      <c r="A135" s="1">
        <v>46100</v>
      </c>
      <c r="B135" t="s">
        <v>20</v>
      </c>
      <c r="C135" t="s">
        <v>26</v>
      </c>
      <c r="D135">
        <v>1043.1400000000001</v>
      </c>
      <c r="E135">
        <v>970.92</v>
      </c>
      <c r="F135">
        <v>72.22</v>
      </c>
      <c r="G135" t="s">
        <v>22</v>
      </c>
      <c r="H135">
        <f t="shared" si="2"/>
        <v>12</v>
      </c>
    </row>
    <row r="136" spans="1:8">
      <c r="A136" s="1">
        <v>46181</v>
      </c>
      <c r="B136" t="s">
        <v>20</v>
      </c>
      <c r="C136" t="s">
        <v>27</v>
      </c>
      <c r="D136">
        <v>528.13</v>
      </c>
      <c r="E136">
        <v>1462.98</v>
      </c>
      <c r="F136">
        <v>-934.85</v>
      </c>
      <c r="G136" t="s">
        <v>22</v>
      </c>
      <c r="H136">
        <f t="shared" si="2"/>
        <v>24</v>
      </c>
    </row>
    <row r="137" spans="1:8">
      <c r="A137" s="1">
        <v>46163</v>
      </c>
      <c r="B137" t="s">
        <v>23</v>
      </c>
      <c r="C137" t="s">
        <v>30</v>
      </c>
      <c r="D137">
        <v>1405.32</v>
      </c>
      <c r="E137">
        <v>1874.86</v>
      </c>
      <c r="F137">
        <v>-469.54</v>
      </c>
      <c r="G137" t="s">
        <v>22</v>
      </c>
      <c r="H137">
        <f t="shared" si="2"/>
        <v>21</v>
      </c>
    </row>
    <row r="138" spans="1:8">
      <c r="A138" s="1">
        <v>46157</v>
      </c>
      <c r="B138" t="s">
        <v>20</v>
      </c>
      <c r="C138" t="s">
        <v>24</v>
      </c>
      <c r="D138">
        <v>424.89</v>
      </c>
      <c r="E138">
        <v>647.86</v>
      </c>
      <c r="F138">
        <v>-222.97</v>
      </c>
      <c r="G138" t="s">
        <v>22</v>
      </c>
      <c r="H138">
        <f t="shared" si="2"/>
        <v>20</v>
      </c>
    </row>
    <row r="139" spans="1:8">
      <c r="A139" s="1">
        <v>46195</v>
      </c>
      <c r="B139" t="s">
        <v>23</v>
      </c>
      <c r="C139" t="s">
        <v>24</v>
      </c>
      <c r="D139">
        <v>369.99</v>
      </c>
      <c r="E139">
        <v>1119.3699999999999</v>
      </c>
      <c r="F139">
        <v>-749.38</v>
      </c>
      <c r="G139" t="s">
        <v>22</v>
      </c>
      <c r="H139">
        <f t="shared" si="2"/>
        <v>26</v>
      </c>
    </row>
    <row r="140" spans="1:8">
      <c r="A140" s="1">
        <v>46143</v>
      </c>
      <c r="B140" t="s">
        <v>20</v>
      </c>
      <c r="C140" t="s">
        <v>21</v>
      </c>
      <c r="D140">
        <v>897.91</v>
      </c>
      <c r="E140">
        <v>908.87</v>
      </c>
      <c r="F140">
        <v>-10.96</v>
      </c>
      <c r="G140" t="s">
        <v>22</v>
      </c>
      <c r="H140">
        <f t="shared" si="2"/>
        <v>18</v>
      </c>
    </row>
    <row r="141" spans="1:8">
      <c r="A141" s="1">
        <v>46094</v>
      </c>
      <c r="B141" t="s">
        <v>23</v>
      </c>
      <c r="C141" t="s">
        <v>31</v>
      </c>
      <c r="D141">
        <v>841.87</v>
      </c>
      <c r="E141">
        <v>633</v>
      </c>
      <c r="F141">
        <v>208.87</v>
      </c>
      <c r="G141" t="s">
        <v>22</v>
      </c>
      <c r="H141">
        <f t="shared" si="2"/>
        <v>11</v>
      </c>
    </row>
    <row r="142" spans="1:8">
      <c r="A142" s="1">
        <v>46035</v>
      </c>
      <c r="B142" t="s">
        <v>23</v>
      </c>
      <c r="C142" t="s">
        <v>31</v>
      </c>
      <c r="D142">
        <v>2423.2800000000002</v>
      </c>
      <c r="E142">
        <v>2236.87</v>
      </c>
      <c r="F142">
        <v>186.41</v>
      </c>
      <c r="G142" t="s">
        <v>22</v>
      </c>
      <c r="H142">
        <f t="shared" si="2"/>
        <v>3</v>
      </c>
    </row>
    <row r="143" spans="1:8">
      <c r="A143" s="1">
        <v>46055</v>
      </c>
      <c r="B143" t="s">
        <v>20</v>
      </c>
      <c r="C143" t="s">
        <v>24</v>
      </c>
      <c r="D143">
        <v>1990.51</v>
      </c>
      <c r="E143">
        <v>1150.8699999999999</v>
      </c>
      <c r="F143">
        <v>839.64</v>
      </c>
      <c r="G143" t="s">
        <v>22</v>
      </c>
      <c r="H143">
        <f t="shared" si="2"/>
        <v>6</v>
      </c>
    </row>
    <row r="144" spans="1:8">
      <c r="A144" s="1">
        <v>46030</v>
      </c>
      <c r="B144" t="s">
        <v>23</v>
      </c>
      <c r="C144" t="s">
        <v>27</v>
      </c>
      <c r="D144">
        <v>2308.9299999999998</v>
      </c>
      <c r="E144">
        <v>2196</v>
      </c>
      <c r="F144">
        <v>112.93</v>
      </c>
      <c r="G144" t="s">
        <v>22</v>
      </c>
      <c r="H144">
        <f t="shared" si="2"/>
        <v>2</v>
      </c>
    </row>
    <row r="145" spans="1:8">
      <c r="A145" s="1">
        <v>46197</v>
      </c>
      <c r="B145" t="s">
        <v>23</v>
      </c>
      <c r="C145" t="s">
        <v>30</v>
      </c>
      <c r="D145">
        <v>2081.12</v>
      </c>
      <c r="E145">
        <v>2105.0700000000002</v>
      </c>
      <c r="F145">
        <v>-23.95</v>
      </c>
      <c r="G145" t="s">
        <v>22</v>
      </c>
      <c r="H145">
        <f t="shared" si="2"/>
        <v>26</v>
      </c>
    </row>
    <row r="146" spans="1:8">
      <c r="A146" s="1">
        <v>46188</v>
      </c>
      <c r="B146" t="s">
        <v>23</v>
      </c>
      <c r="C146" t="s">
        <v>30</v>
      </c>
      <c r="D146">
        <v>1574.57</v>
      </c>
      <c r="E146">
        <v>2485.75</v>
      </c>
      <c r="F146">
        <v>-911.18</v>
      </c>
      <c r="G146" t="s">
        <v>22</v>
      </c>
      <c r="H146">
        <f t="shared" si="2"/>
        <v>25</v>
      </c>
    </row>
    <row r="147" spans="1:8">
      <c r="A147" s="1">
        <v>46122</v>
      </c>
      <c r="B147" t="s">
        <v>20</v>
      </c>
      <c r="C147" t="s">
        <v>29</v>
      </c>
      <c r="D147">
        <v>2022.76</v>
      </c>
      <c r="E147">
        <v>391.41</v>
      </c>
      <c r="F147">
        <v>1631.35</v>
      </c>
      <c r="G147" t="s">
        <v>22</v>
      </c>
      <c r="H147">
        <f t="shared" si="2"/>
        <v>15</v>
      </c>
    </row>
    <row r="148" spans="1:8">
      <c r="A148" s="1">
        <v>46054</v>
      </c>
      <c r="B148" t="s">
        <v>23</v>
      </c>
      <c r="C148" t="s">
        <v>21</v>
      </c>
      <c r="D148">
        <v>366.93</v>
      </c>
      <c r="E148">
        <v>1787.03</v>
      </c>
      <c r="F148">
        <v>-1420.1</v>
      </c>
      <c r="G148" t="s">
        <v>22</v>
      </c>
      <c r="H148">
        <f t="shared" si="2"/>
        <v>5</v>
      </c>
    </row>
    <row r="149" spans="1:8">
      <c r="A149" s="1">
        <v>46030</v>
      </c>
      <c r="B149" t="s">
        <v>20</v>
      </c>
      <c r="C149" t="s">
        <v>32</v>
      </c>
      <c r="D149">
        <v>1190.71</v>
      </c>
      <c r="E149">
        <v>557.77</v>
      </c>
      <c r="F149">
        <v>632.94000000000005</v>
      </c>
      <c r="G149" t="s">
        <v>22</v>
      </c>
      <c r="H149">
        <f t="shared" si="2"/>
        <v>2</v>
      </c>
    </row>
    <row r="150" spans="1:8">
      <c r="A150" s="1">
        <v>46042</v>
      </c>
      <c r="B150" t="s">
        <v>20</v>
      </c>
      <c r="C150" t="s">
        <v>26</v>
      </c>
      <c r="D150">
        <v>453.59</v>
      </c>
      <c r="E150">
        <v>411.26</v>
      </c>
      <c r="F150">
        <v>42.33</v>
      </c>
      <c r="G150" t="s">
        <v>22</v>
      </c>
      <c r="H150">
        <f t="shared" si="2"/>
        <v>4</v>
      </c>
    </row>
    <row r="151" spans="1:8">
      <c r="A151" s="1">
        <v>46185</v>
      </c>
      <c r="B151" t="s">
        <v>20</v>
      </c>
      <c r="C151" t="s">
        <v>24</v>
      </c>
      <c r="D151">
        <v>598.01</v>
      </c>
      <c r="E151">
        <v>1021.57</v>
      </c>
      <c r="F151">
        <v>-423.56</v>
      </c>
      <c r="G151" t="s">
        <v>22</v>
      </c>
      <c r="H151">
        <f t="shared" si="2"/>
        <v>24</v>
      </c>
    </row>
    <row r="152" spans="1:8">
      <c r="A152" s="1">
        <v>46171</v>
      </c>
      <c r="B152" t="s">
        <v>20</v>
      </c>
      <c r="C152" t="s">
        <v>25</v>
      </c>
      <c r="D152">
        <v>2185.1</v>
      </c>
      <c r="E152">
        <v>647.62</v>
      </c>
      <c r="F152">
        <v>1537.48</v>
      </c>
      <c r="G152" t="s">
        <v>22</v>
      </c>
      <c r="H152">
        <f t="shared" si="2"/>
        <v>22</v>
      </c>
    </row>
    <row r="153" spans="1:8">
      <c r="A153" s="1">
        <v>46092</v>
      </c>
      <c r="B153" t="s">
        <v>20</v>
      </c>
      <c r="C153" t="s">
        <v>30</v>
      </c>
      <c r="D153">
        <v>1492.16</v>
      </c>
      <c r="E153">
        <v>1949.3</v>
      </c>
      <c r="F153">
        <v>-457.14</v>
      </c>
      <c r="G153" t="s">
        <v>22</v>
      </c>
      <c r="H153">
        <f t="shared" si="2"/>
        <v>11</v>
      </c>
    </row>
    <row r="154" spans="1:8">
      <c r="A154" s="1">
        <v>46023</v>
      </c>
      <c r="B154" t="s">
        <v>23</v>
      </c>
      <c r="C154" t="s">
        <v>29</v>
      </c>
      <c r="D154">
        <v>1412.85</v>
      </c>
      <c r="E154">
        <v>263.69</v>
      </c>
      <c r="F154">
        <v>1149.1600000000001</v>
      </c>
      <c r="G154" t="s">
        <v>22</v>
      </c>
      <c r="H154">
        <f t="shared" si="2"/>
        <v>1</v>
      </c>
    </row>
    <row r="155" spans="1:8">
      <c r="A155" s="1">
        <v>46191</v>
      </c>
      <c r="B155" t="s">
        <v>23</v>
      </c>
      <c r="C155" t="s">
        <v>31</v>
      </c>
      <c r="D155">
        <v>2345.9699999999998</v>
      </c>
      <c r="E155">
        <v>2029.41</v>
      </c>
      <c r="F155">
        <v>316.56</v>
      </c>
      <c r="G155" t="s">
        <v>22</v>
      </c>
      <c r="H155">
        <f t="shared" si="2"/>
        <v>25</v>
      </c>
    </row>
    <row r="156" spans="1:8">
      <c r="A156" s="1">
        <v>46037</v>
      </c>
      <c r="B156" t="s">
        <v>20</v>
      </c>
      <c r="C156" t="s">
        <v>25</v>
      </c>
      <c r="D156">
        <v>1534.19</v>
      </c>
      <c r="E156">
        <v>632.16999999999996</v>
      </c>
      <c r="F156">
        <v>902.02</v>
      </c>
      <c r="G156" t="s">
        <v>22</v>
      </c>
      <c r="H156">
        <f t="shared" si="2"/>
        <v>3</v>
      </c>
    </row>
    <row r="157" spans="1:8">
      <c r="A157" s="1">
        <v>46050</v>
      </c>
      <c r="B157" t="s">
        <v>23</v>
      </c>
      <c r="C157" t="s">
        <v>31</v>
      </c>
      <c r="D157">
        <v>1220.3499999999999</v>
      </c>
      <c r="E157">
        <v>622.13</v>
      </c>
      <c r="F157">
        <v>598.22</v>
      </c>
      <c r="G157" t="s">
        <v>22</v>
      </c>
      <c r="H157">
        <f t="shared" si="2"/>
        <v>5</v>
      </c>
    </row>
    <row r="158" spans="1:8">
      <c r="A158" s="1">
        <v>46077</v>
      </c>
      <c r="B158" t="s">
        <v>23</v>
      </c>
      <c r="C158" t="s">
        <v>30</v>
      </c>
      <c r="D158">
        <v>2410.23</v>
      </c>
      <c r="E158">
        <v>2593.8200000000002</v>
      </c>
      <c r="F158">
        <v>-183.59</v>
      </c>
      <c r="G158" t="s">
        <v>22</v>
      </c>
      <c r="H158">
        <f t="shared" si="2"/>
        <v>9</v>
      </c>
    </row>
    <row r="159" spans="1:8">
      <c r="A159" s="1">
        <v>46154</v>
      </c>
      <c r="B159" t="s">
        <v>20</v>
      </c>
      <c r="C159" t="s">
        <v>29</v>
      </c>
      <c r="D159">
        <v>2185.34</v>
      </c>
      <c r="E159">
        <v>955.77</v>
      </c>
      <c r="F159">
        <v>1229.57</v>
      </c>
      <c r="G159" t="s">
        <v>22</v>
      </c>
      <c r="H159">
        <f t="shared" si="2"/>
        <v>20</v>
      </c>
    </row>
    <row r="160" spans="1:8">
      <c r="A160" s="1">
        <v>46121</v>
      </c>
      <c r="B160" t="s">
        <v>20</v>
      </c>
      <c r="C160" t="s">
        <v>29</v>
      </c>
      <c r="D160">
        <v>892.41</v>
      </c>
      <c r="E160">
        <v>2096.41</v>
      </c>
      <c r="F160">
        <v>-1204</v>
      </c>
      <c r="G160" t="s">
        <v>22</v>
      </c>
      <c r="H160">
        <f t="shared" si="2"/>
        <v>15</v>
      </c>
    </row>
    <row r="161" spans="1:8">
      <c r="A161" s="1">
        <v>46161</v>
      </c>
      <c r="B161" t="s">
        <v>20</v>
      </c>
      <c r="C161" t="s">
        <v>32</v>
      </c>
      <c r="D161">
        <v>806.48</v>
      </c>
      <c r="E161">
        <v>566.41</v>
      </c>
      <c r="F161">
        <v>240.07</v>
      </c>
      <c r="G161" t="s">
        <v>22</v>
      </c>
      <c r="H161">
        <f t="shared" si="2"/>
        <v>21</v>
      </c>
    </row>
    <row r="162" spans="1:8">
      <c r="A162" s="1">
        <v>46155</v>
      </c>
      <c r="B162" t="s">
        <v>20</v>
      </c>
      <c r="C162" t="s">
        <v>29</v>
      </c>
      <c r="D162">
        <v>240.69</v>
      </c>
      <c r="E162">
        <v>1049.8699999999999</v>
      </c>
      <c r="F162">
        <v>-809.18</v>
      </c>
      <c r="G162" t="s">
        <v>22</v>
      </c>
      <c r="H162">
        <f t="shared" si="2"/>
        <v>20</v>
      </c>
    </row>
    <row r="163" spans="1:8">
      <c r="A163" s="1">
        <v>46197</v>
      </c>
      <c r="B163" t="s">
        <v>20</v>
      </c>
      <c r="C163" t="s">
        <v>28</v>
      </c>
      <c r="D163">
        <v>1746.89</v>
      </c>
      <c r="E163">
        <v>1565.48</v>
      </c>
      <c r="F163">
        <v>181.41</v>
      </c>
      <c r="G163" t="s">
        <v>22</v>
      </c>
      <c r="H163">
        <f t="shared" si="2"/>
        <v>26</v>
      </c>
    </row>
    <row r="164" spans="1:8">
      <c r="A164" s="1">
        <v>46087</v>
      </c>
      <c r="B164" t="s">
        <v>20</v>
      </c>
      <c r="C164" t="s">
        <v>31</v>
      </c>
      <c r="D164">
        <v>2180.94</v>
      </c>
      <c r="E164">
        <v>1132.43</v>
      </c>
      <c r="F164">
        <v>1048.51</v>
      </c>
      <c r="G164" t="s">
        <v>22</v>
      </c>
      <c r="H164">
        <f t="shared" si="2"/>
        <v>10</v>
      </c>
    </row>
    <row r="165" spans="1:8">
      <c r="A165" s="1">
        <v>46063</v>
      </c>
      <c r="B165" t="s">
        <v>20</v>
      </c>
      <c r="C165" t="s">
        <v>27</v>
      </c>
      <c r="D165">
        <v>1142.6099999999999</v>
      </c>
      <c r="E165">
        <v>1635.4</v>
      </c>
      <c r="F165">
        <v>-492.79</v>
      </c>
      <c r="G165" t="s">
        <v>22</v>
      </c>
      <c r="H165">
        <f t="shared" si="2"/>
        <v>7</v>
      </c>
    </row>
    <row r="166" spans="1:8">
      <c r="A166" s="1">
        <v>46083</v>
      </c>
      <c r="B166" t="s">
        <v>20</v>
      </c>
      <c r="C166" t="s">
        <v>29</v>
      </c>
      <c r="D166">
        <v>821.07</v>
      </c>
      <c r="E166">
        <v>1082.1300000000001</v>
      </c>
      <c r="F166">
        <v>-261.06</v>
      </c>
      <c r="G166" t="s">
        <v>22</v>
      </c>
      <c r="H166">
        <f t="shared" si="2"/>
        <v>10</v>
      </c>
    </row>
    <row r="167" spans="1:8">
      <c r="A167" s="1">
        <v>46150</v>
      </c>
      <c r="B167" t="s">
        <v>20</v>
      </c>
      <c r="C167" t="s">
        <v>30</v>
      </c>
      <c r="D167">
        <v>1055.77</v>
      </c>
      <c r="E167">
        <v>1544.61</v>
      </c>
      <c r="F167">
        <v>-488.84</v>
      </c>
      <c r="G167" t="s">
        <v>22</v>
      </c>
      <c r="H167">
        <f t="shared" si="2"/>
        <v>19</v>
      </c>
    </row>
    <row r="168" spans="1:8">
      <c r="A168" s="1">
        <v>46049</v>
      </c>
      <c r="B168" t="s">
        <v>23</v>
      </c>
      <c r="C168" t="s">
        <v>26</v>
      </c>
      <c r="D168">
        <v>1793.25</v>
      </c>
      <c r="E168">
        <v>1686.23</v>
      </c>
      <c r="F168">
        <v>107.02</v>
      </c>
      <c r="G168" t="s">
        <v>22</v>
      </c>
      <c r="H168">
        <f t="shared" si="2"/>
        <v>5</v>
      </c>
    </row>
    <row r="169" spans="1:8">
      <c r="A169" s="1">
        <v>46168</v>
      </c>
      <c r="B169" t="s">
        <v>23</v>
      </c>
      <c r="C169" t="s">
        <v>31</v>
      </c>
      <c r="D169">
        <v>1121.23</v>
      </c>
      <c r="E169">
        <v>1975.39</v>
      </c>
      <c r="F169">
        <v>-854.16</v>
      </c>
      <c r="G169" t="s">
        <v>22</v>
      </c>
      <c r="H169">
        <f t="shared" si="2"/>
        <v>22</v>
      </c>
    </row>
    <row r="170" spans="1:8">
      <c r="A170" s="1">
        <v>46168</v>
      </c>
      <c r="B170" t="s">
        <v>23</v>
      </c>
      <c r="C170" t="s">
        <v>27</v>
      </c>
      <c r="D170">
        <v>388.23</v>
      </c>
      <c r="E170">
        <v>1989.1</v>
      </c>
      <c r="F170">
        <v>-1600.87</v>
      </c>
      <c r="G170" t="s">
        <v>22</v>
      </c>
      <c r="H170">
        <f t="shared" si="2"/>
        <v>22</v>
      </c>
    </row>
    <row r="171" spans="1:8">
      <c r="A171" s="1">
        <v>46059</v>
      </c>
      <c r="B171" t="s">
        <v>20</v>
      </c>
      <c r="C171" t="s">
        <v>30</v>
      </c>
      <c r="D171">
        <v>518.85</v>
      </c>
      <c r="E171">
        <v>1723.62</v>
      </c>
      <c r="F171">
        <v>-1204.77</v>
      </c>
      <c r="G171" t="s">
        <v>22</v>
      </c>
      <c r="H171">
        <f t="shared" si="2"/>
        <v>6</v>
      </c>
    </row>
    <row r="172" spans="1:8">
      <c r="A172" s="1">
        <v>46041</v>
      </c>
      <c r="B172" t="s">
        <v>20</v>
      </c>
      <c r="C172" t="s">
        <v>28</v>
      </c>
      <c r="D172">
        <v>468.67</v>
      </c>
      <c r="E172">
        <v>727.6</v>
      </c>
      <c r="F172">
        <v>-258.93</v>
      </c>
      <c r="G172" t="s">
        <v>22</v>
      </c>
      <c r="H172">
        <f t="shared" si="2"/>
        <v>4</v>
      </c>
    </row>
    <row r="173" spans="1:8">
      <c r="A173" s="1">
        <v>46037</v>
      </c>
      <c r="B173" t="s">
        <v>20</v>
      </c>
      <c r="C173" t="s">
        <v>29</v>
      </c>
      <c r="D173">
        <v>395.77</v>
      </c>
      <c r="E173">
        <v>1975.09</v>
      </c>
      <c r="F173">
        <v>-1579.32</v>
      </c>
      <c r="G173" t="s">
        <v>22</v>
      </c>
      <c r="H173">
        <f t="shared" si="2"/>
        <v>3</v>
      </c>
    </row>
    <row r="174" spans="1:8">
      <c r="A174" s="1">
        <v>46055</v>
      </c>
      <c r="B174" t="s">
        <v>23</v>
      </c>
      <c r="C174" t="s">
        <v>25</v>
      </c>
      <c r="D174">
        <v>1321.74</v>
      </c>
      <c r="E174">
        <v>506.31</v>
      </c>
      <c r="F174">
        <v>815.43</v>
      </c>
      <c r="G174" t="s">
        <v>22</v>
      </c>
      <c r="H174">
        <f t="shared" si="2"/>
        <v>6</v>
      </c>
    </row>
    <row r="175" spans="1:8">
      <c r="A175" s="1">
        <v>46097</v>
      </c>
      <c r="B175" t="s">
        <v>23</v>
      </c>
      <c r="C175" t="s">
        <v>28</v>
      </c>
      <c r="D175">
        <v>573.39</v>
      </c>
      <c r="E175">
        <v>2010.65</v>
      </c>
      <c r="F175">
        <v>-1437.26</v>
      </c>
      <c r="G175" t="s">
        <v>22</v>
      </c>
      <c r="H175">
        <f t="shared" si="2"/>
        <v>12</v>
      </c>
    </row>
    <row r="176" spans="1:8">
      <c r="A176" s="1">
        <v>46106</v>
      </c>
      <c r="B176" t="s">
        <v>20</v>
      </c>
      <c r="C176" t="s">
        <v>30</v>
      </c>
      <c r="D176">
        <v>666.59</v>
      </c>
      <c r="E176">
        <v>1895.71</v>
      </c>
      <c r="F176">
        <v>-1229.1199999999999</v>
      </c>
      <c r="G176" t="s">
        <v>22</v>
      </c>
      <c r="H176">
        <f t="shared" si="2"/>
        <v>13</v>
      </c>
    </row>
    <row r="177" spans="1:8">
      <c r="A177" s="1">
        <v>46203</v>
      </c>
      <c r="B177" t="s">
        <v>20</v>
      </c>
      <c r="C177" t="s">
        <v>21</v>
      </c>
      <c r="D177">
        <v>1983.25</v>
      </c>
      <c r="E177">
        <v>1531.95</v>
      </c>
      <c r="F177">
        <v>451.3</v>
      </c>
      <c r="G177" t="s">
        <v>22</v>
      </c>
      <c r="H177">
        <f t="shared" si="2"/>
        <v>27</v>
      </c>
    </row>
    <row r="178" spans="1:8">
      <c r="A178" s="1">
        <v>46080</v>
      </c>
      <c r="B178" t="s">
        <v>23</v>
      </c>
      <c r="C178" t="s">
        <v>29</v>
      </c>
      <c r="D178">
        <v>2092.67</v>
      </c>
      <c r="E178">
        <v>280.07</v>
      </c>
      <c r="F178">
        <v>1812.6</v>
      </c>
      <c r="G178" t="s">
        <v>22</v>
      </c>
      <c r="H178">
        <f t="shared" si="2"/>
        <v>9</v>
      </c>
    </row>
    <row r="179" spans="1:8">
      <c r="A179" s="1">
        <v>46090</v>
      </c>
      <c r="B179" t="s">
        <v>20</v>
      </c>
      <c r="C179" t="s">
        <v>28</v>
      </c>
      <c r="D179">
        <v>1769.47</v>
      </c>
      <c r="E179">
        <v>637.76</v>
      </c>
      <c r="F179">
        <v>1131.71</v>
      </c>
      <c r="G179" t="s">
        <v>22</v>
      </c>
      <c r="H179">
        <f t="shared" si="2"/>
        <v>11</v>
      </c>
    </row>
    <row r="180" spans="1:8">
      <c r="A180" s="1">
        <v>46145</v>
      </c>
      <c r="B180" t="s">
        <v>23</v>
      </c>
      <c r="C180" t="s">
        <v>32</v>
      </c>
      <c r="D180">
        <v>1845.63</v>
      </c>
      <c r="E180">
        <v>1506.72</v>
      </c>
      <c r="F180">
        <v>338.91</v>
      </c>
      <c r="G180" t="s">
        <v>22</v>
      </c>
      <c r="H180">
        <f t="shared" si="2"/>
        <v>18</v>
      </c>
    </row>
    <row r="181" spans="1:8">
      <c r="A181" s="1">
        <v>46142</v>
      </c>
      <c r="B181" t="s">
        <v>20</v>
      </c>
      <c r="C181" t="s">
        <v>25</v>
      </c>
      <c r="D181">
        <v>160.62</v>
      </c>
      <c r="E181">
        <v>1278.22</v>
      </c>
      <c r="F181">
        <v>-1117.5999999999999</v>
      </c>
      <c r="G181" t="s">
        <v>22</v>
      </c>
      <c r="H181">
        <f t="shared" si="2"/>
        <v>18</v>
      </c>
    </row>
    <row r="182" spans="1:8">
      <c r="A182" s="1">
        <v>46150</v>
      </c>
      <c r="B182" t="s">
        <v>23</v>
      </c>
      <c r="C182" t="s">
        <v>25</v>
      </c>
      <c r="D182">
        <v>338.57</v>
      </c>
      <c r="E182">
        <v>1309.71</v>
      </c>
      <c r="F182">
        <v>-971.14</v>
      </c>
      <c r="G182" t="s">
        <v>22</v>
      </c>
      <c r="H182">
        <f t="shared" si="2"/>
        <v>19</v>
      </c>
    </row>
    <row r="183" spans="1:8">
      <c r="A183" s="1">
        <v>46176</v>
      </c>
      <c r="B183" t="s">
        <v>23</v>
      </c>
      <c r="C183" t="s">
        <v>21</v>
      </c>
      <c r="D183">
        <v>2191.56</v>
      </c>
      <c r="E183">
        <v>1530.1</v>
      </c>
      <c r="F183">
        <v>661.46</v>
      </c>
      <c r="G183" t="s">
        <v>22</v>
      </c>
      <c r="H183">
        <f t="shared" si="2"/>
        <v>23</v>
      </c>
    </row>
    <row r="184" spans="1:8">
      <c r="A184" s="1">
        <v>46181</v>
      </c>
      <c r="B184" t="s">
        <v>23</v>
      </c>
      <c r="C184" t="s">
        <v>24</v>
      </c>
      <c r="D184">
        <v>1621.29</v>
      </c>
      <c r="E184">
        <v>1133.21</v>
      </c>
      <c r="F184">
        <v>488.08</v>
      </c>
      <c r="G184" t="s">
        <v>22</v>
      </c>
      <c r="H184">
        <f t="shared" si="2"/>
        <v>24</v>
      </c>
    </row>
    <row r="185" spans="1:8">
      <c r="A185" s="1">
        <v>46144</v>
      </c>
      <c r="B185" t="s">
        <v>23</v>
      </c>
      <c r="C185" t="s">
        <v>25</v>
      </c>
      <c r="D185">
        <v>1240.46</v>
      </c>
      <c r="E185">
        <v>1069.25</v>
      </c>
      <c r="F185">
        <v>171.21</v>
      </c>
      <c r="G185" t="s">
        <v>22</v>
      </c>
      <c r="H185">
        <f t="shared" si="2"/>
        <v>18</v>
      </c>
    </row>
    <row r="186" spans="1:8">
      <c r="A186" s="1">
        <v>46136</v>
      </c>
      <c r="B186" t="s">
        <v>20</v>
      </c>
      <c r="C186" t="s">
        <v>26</v>
      </c>
      <c r="D186">
        <v>1373.66</v>
      </c>
      <c r="E186">
        <v>694.34</v>
      </c>
      <c r="F186">
        <v>679.32</v>
      </c>
      <c r="G186" t="s">
        <v>22</v>
      </c>
      <c r="H186">
        <f t="shared" si="2"/>
        <v>17</v>
      </c>
    </row>
    <row r="187" spans="1:8">
      <c r="A187" s="1">
        <v>46160</v>
      </c>
      <c r="B187" t="s">
        <v>23</v>
      </c>
      <c r="C187" t="s">
        <v>29</v>
      </c>
      <c r="D187">
        <v>1869.5</v>
      </c>
      <c r="E187">
        <v>1889.04</v>
      </c>
      <c r="F187">
        <v>-19.54</v>
      </c>
      <c r="G187" t="s">
        <v>22</v>
      </c>
      <c r="H187">
        <f t="shared" si="2"/>
        <v>21</v>
      </c>
    </row>
    <row r="188" spans="1:8">
      <c r="A188" s="1">
        <v>46100</v>
      </c>
      <c r="B188" t="s">
        <v>23</v>
      </c>
      <c r="C188" t="s">
        <v>31</v>
      </c>
      <c r="D188">
        <v>2499.7399999999998</v>
      </c>
      <c r="E188">
        <v>1749.06</v>
      </c>
      <c r="F188">
        <v>750.68</v>
      </c>
      <c r="G188" t="s">
        <v>33</v>
      </c>
      <c r="H188">
        <f t="shared" si="2"/>
        <v>12</v>
      </c>
    </row>
    <row r="189" spans="1:8">
      <c r="A189" s="1">
        <v>46133</v>
      </c>
      <c r="B189" t="s">
        <v>20</v>
      </c>
      <c r="C189" t="s">
        <v>21</v>
      </c>
      <c r="D189">
        <v>791.07</v>
      </c>
      <c r="E189">
        <v>1714.4</v>
      </c>
      <c r="F189">
        <v>-923.33</v>
      </c>
      <c r="G189" t="s">
        <v>22</v>
      </c>
      <c r="H189">
        <f t="shared" si="2"/>
        <v>17</v>
      </c>
    </row>
    <row r="190" spans="1:8">
      <c r="A190" s="1">
        <v>46077</v>
      </c>
      <c r="B190" t="s">
        <v>23</v>
      </c>
      <c r="C190" t="s">
        <v>28</v>
      </c>
      <c r="D190">
        <v>436.26</v>
      </c>
      <c r="E190">
        <v>1720.99</v>
      </c>
      <c r="F190">
        <v>-1284.73</v>
      </c>
      <c r="G190" t="s">
        <v>22</v>
      </c>
      <c r="H190">
        <f t="shared" si="2"/>
        <v>9</v>
      </c>
    </row>
    <row r="191" spans="1:8">
      <c r="A191" s="1">
        <v>46037</v>
      </c>
      <c r="B191" t="s">
        <v>20</v>
      </c>
      <c r="C191" t="s">
        <v>24</v>
      </c>
      <c r="D191">
        <v>654.74</v>
      </c>
      <c r="E191">
        <v>1368.76</v>
      </c>
      <c r="F191">
        <v>-714.02</v>
      </c>
      <c r="G191" t="s">
        <v>22</v>
      </c>
      <c r="H191">
        <f t="shared" si="2"/>
        <v>3</v>
      </c>
    </row>
    <row r="192" spans="1:8">
      <c r="A192" s="1">
        <v>46108</v>
      </c>
      <c r="B192" t="s">
        <v>20</v>
      </c>
      <c r="C192" t="s">
        <v>24</v>
      </c>
      <c r="D192">
        <v>2000.44</v>
      </c>
      <c r="E192">
        <v>1628.43</v>
      </c>
      <c r="F192">
        <v>372.01</v>
      </c>
      <c r="G192" t="s">
        <v>22</v>
      </c>
      <c r="H192">
        <f t="shared" si="2"/>
        <v>13</v>
      </c>
    </row>
    <row r="193" spans="1:8">
      <c r="A193" s="1">
        <v>46057</v>
      </c>
      <c r="B193" t="s">
        <v>23</v>
      </c>
      <c r="C193" t="s">
        <v>21</v>
      </c>
      <c r="D193">
        <v>362.14</v>
      </c>
      <c r="E193">
        <v>778.7</v>
      </c>
      <c r="F193">
        <v>-416.56</v>
      </c>
      <c r="G193" t="s">
        <v>22</v>
      </c>
      <c r="H193">
        <f t="shared" si="2"/>
        <v>6</v>
      </c>
    </row>
    <row r="194" spans="1:8">
      <c r="A194" s="1">
        <v>46101</v>
      </c>
      <c r="B194" t="s">
        <v>23</v>
      </c>
      <c r="C194" t="s">
        <v>27</v>
      </c>
      <c r="D194">
        <v>1715.32</v>
      </c>
      <c r="E194">
        <v>2111.19</v>
      </c>
      <c r="F194">
        <v>-395.87</v>
      </c>
      <c r="G194" t="s">
        <v>22</v>
      </c>
      <c r="H194">
        <f t="shared" ref="H194:H257" si="3">WEEKNUM(A194,2)</f>
        <v>12</v>
      </c>
    </row>
    <row r="195" spans="1:8">
      <c r="A195" s="1">
        <v>46141</v>
      </c>
      <c r="B195" t="s">
        <v>20</v>
      </c>
      <c r="C195" t="s">
        <v>29</v>
      </c>
      <c r="D195">
        <v>1827.67</v>
      </c>
      <c r="E195">
        <v>2106.9499999999998</v>
      </c>
      <c r="F195">
        <v>-279.27999999999997</v>
      </c>
      <c r="G195" t="s">
        <v>22</v>
      </c>
      <c r="H195">
        <f t="shared" si="3"/>
        <v>18</v>
      </c>
    </row>
    <row r="196" spans="1:8">
      <c r="A196" s="1">
        <v>46135</v>
      </c>
      <c r="B196" t="s">
        <v>20</v>
      </c>
      <c r="C196" t="s">
        <v>27</v>
      </c>
      <c r="D196">
        <v>232.52</v>
      </c>
      <c r="E196">
        <v>229.77</v>
      </c>
      <c r="F196">
        <v>2.75</v>
      </c>
      <c r="G196" t="s">
        <v>22</v>
      </c>
      <c r="H196">
        <f t="shared" si="3"/>
        <v>17</v>
      </c>
    </row>
    <row r="197" spans="1:8">
      <c r="A197" s="1">
        <v>46125</v>
      </c>
      <c r="B197" t="s">
        <v>23</v>
      </c>
      <c r="C197" t="s">
        <v>31</v>
      </c>
      <c r="D197">
        <v>1085.3900000000001</v>
      </c>
      <c r="E197">
        <v>2128.79</v>
      </c>
      <c r="F197">
        <v>-1043.4000000000001</v>
      </c>
      <c r="G197" t="s">
        <v>22</v>
      </c>
      <c r="H197">
        <f t="shared" si="3"/>
        <v>16</v>
      </c>
    </row>
    <row r="198" spans="1:8">
      <c r="A198" s="1">
        <v>46028</v>
      </c>
      <c r="B198" t="s">
        <v>23</v>
      </c>
      <c r="C198" t="s">
        <v>32</v>
      </c>
      <c r="D198">
        <v>2514.98</v>
      </c>
      <c r="E198">
        <v>2524.94</v>
      </c>
      <c r="F198">
        <v>-9.9600000000000009</v>
      </c>
      <c r="G198" t="s">
        <v>22</v>
      </c>
      <c r="H198">
        <f t="shared" si="3"/>
        <v>2</v>
      </c>
    </row>
    <row r="199" spans="1:8">
      <c r="A199" s="1">
        <v>46043</v>
      </c>
      <c r="B199" t="s">
        <v>23</v>
      </c>
      <c r="C199" t="s">
        <v>29</v>
      </c>
      <c r="D199">
        <v>2404.2800000000002</v>
      </c>
      <c r="E199">
        <v>1039.18</v>
      </c>
      <c r="F199">
        <v>1365.1</v>
      </c>
      <c r="G199" t="s">
        <v>22</v>
      </c>
      <c r="H199">
        <f t="shared" si="3"/>
        <v>4</v>
      </c>
    </row>
    <row r="200" spans="1:8">
      <c r="A200" s="1">
        <v>46042</v>
      </c>
      <c r="B200" t="s">
        <v>23</v>
      </c>
      <c r="C200" t="s">
        <v>27</v>
      </c>
      <c r="D200">
        <v>1836.96</v>
      </c>
      <c r="E200">
        <v>1800.64</v>
      </c>
      <c r="F200">
        <v>36.32</v>
      </c>
      <c r="G200" t="s">
        <v>22</v>
      </c>
      <c r="H200">
        <f t="shared" si="3"/>
        <v>4</v>
      </c>
    </row>
    <row r="201" spans="1:8">
      <c r="A201" s="1">
        <v>46078</v>
      </c>
      <c r="B201" t="s">
        <v>23</v>
      </c>
      <c r="C201" t="s">
        <v>32</v>
      </c>
      <c r="D201">
        <v>1687.3</v>
      </c>
      <c r="E201">
        <v>777.99</v>
      </c>
      <c r="F201">
        <v>909.31</v>
      </c>
      <c r="G201" t="s">
        <v>22</v>
      </c>
      <c r="H201">
        <f t="shared" si="3"/>
        <v>9</v>
      </c>
    </row>
    <row r="202" spans="1:8">
      <c r="A202" s="1">
        <v>46148</v>
      </c>
      <c r="B202" t="s">
        <v>23</v>
      </c>
      <c r="C202" t="s">
        <v>28</v>
      </c>
      <c r="D202">
        <v>1825.13</v>
      </c>
      <c r="E202">
        <v>594.45000000000005</v>
      </c>
      <c r="F202">
        <v>1230.68</v>
      </c>
      <c r="G202" t="s">
        <v>22</v>
      </c>
      <c r="H202">
        <f t="shared" si="3"/>
        <v>19</v>
      </c>
    </row>
    <row r="203" spans="1:8">
      <c r="A203" s="1">
        <v>46183</v>
      </c>
      <c r="B203" t="s">
        <v>20</v>
      </c>
      <c r="C203" t="s">
        <v>30</v>
      </c>
      <c r="D203">
        <v>1017.23</v>
      </c>
      <c r="E203">
        <v>1147.67</v>
      </c>
      <c r="F203">
        <v>-130.44</v>
      </c>
      <c r="G203" t="s">
        <v>22</v>
      </c>
      <c r="H203">
        <f t="shared" si="3"/>
        <v>24</v>
      </c>
    </row>
    <row r="204" spans="1:8">
      <c r="A204" s="1">
        <v>46156</v>
      </c>
      <c r="B204" t="s">
        <v>20</v>
      </c>
      <c r="C204" t="s">
        <v>24</v>
      </c>
      <c r="D204">
        <v>2018.73</v>
      </c>
      <c r="E204">
        <v>1433.29</v>
      </c>
      <c r="F204">
        <v>585.44000000000005</v>
      </c>
      <c r="G204" t="s">
        <v>22</v>
      </c>
      <c r="H204">
        <f t="shared" si="3"/>
        <v>20</v>
      </c>
    </row>
    <row r="205" spans="1:8">
      <c r="A205" s="1">
        <v>46168</v>
      </c>
      <c r="B205" t="s">
        <v>20</v>
      </c>
      <c r="C205" t="s">
        <v>27</v>
      </c>
      <c r="D205">
        <v>1353.42</v>
      </c>
      <c r="E205">
        <v>1692.12</v>
      </c>
      <c r="F205">
        <v>-338.7</v>
      </c>
      <c r="G205" t="s">
        <v>22</v>
      </c>
      <c r="H205">
        <f t="shared" si="3"/>
        <v>22</v>
      </c>
    </row>
    <row r="206" spans="1:8">
      <c r="A206" s="1">
        <v>46150</v>
      </c>
      <c r="B206" t="s">
        <v>20</v>
      </c>
      <c r="C206" t="s">
        <v>32</v>
      </c>
      <c r="D206">
        <v>1619.68</v>
      </c>
      <c r="E206">
        <v>1152.0999999999999</v>
      </c>
      <c r="F206">
        <v>467.58</v>
      </c>
      <c r="G206" t="s">
        <v>22</v>
      </c>
      <c r="H206">
        <f t="shared" si="3"/>
        <v>19</v>
      </c>
    </row>
    <row r="207" spans="1:8">
      <c r="A207" s="1">
        <v>46155</v>
      </c>
      <c r="B207" t="s">
        <v>20</v>
      </c>
      <c r="C207" t="s">
        <v>21</v>
      </c>
      <c r="D207">
        <v>1938.04</v>
      </c>
      <c r="E207">
        <v>651.71</v>
      </c>
      <c r="F207">
        <v>1286.33</v>
      </c>
      <c r="G207" t="s">
        <v>22</v>
      </c>
      <c r="H207">
        <f t="shared" si="3"/>
        <v>20</v>
      </c>
    </row>
    <row r="208" spans="1:8">
      <c r="A208" s="1">
        <v>46119</v>
      </c>
      <c r="B208" t="s">
        <v>23</v>
      </c>
      <c r="C208" t="s">
        <v>29</v>
      </c>
      <c r="D208">
        <v>389.42</v>
      </c>
      <c r="E208">
        <v>1645.89</v>
      </c>
      <c r="F208">
        <v>-1256.47</v>
      </c>
      <c r="G208" t="s">
        <v>22</v>
      </c>
      <c r="H208">
        <f t="shared" si="3"/>
        <v>15</v>
      </c>
    </row>
    <row r="209" spans="1:8">
      <c r="A209" s="1">
        <v>46064</v>
      </c>
      <c r="B209" t="s">
        <v>20</v>
      </c>
      <c r="C209" t="s">
        <v>29</v>
      </c>
      <c r="D209">
        <v>1052.96</v>
      </c>
      <c r="E209">
        <v>527.95000000000005</v>
      </c>
      <c r="F209">
        <v>525.01</v>
      </c>
      <c r="G209" t="s">
        <v>22</v>
      </c>
      <c r="H209">
        <f t="shared" si="3"/>
        <v>7</v>
      </c>
    </row>
    <row r="210" spans="1:8">
      <c r="A210" s="1">
        <v>46149</v>
      </c>
      <c r="B210" t="s">
        <v>23</v>
      </c>
      <c r="C210" t="s">
        <v>21</v>
      </c>
      <c r="D210">
        <v>1467.62</v>
      </c>
      <c r="E210">
        <v>1068.28</v>
      </c>
      <c r="F210">
        <v>399.34</v>
      </c>
      <c r="G210" t="s">
        <v>22</v>
      </c>
      <c r="H210">
        <f t="shared" si="3"/>
        <v>19</v>
      </c>
    </row>
    <row r="211" spans="1:8">
      <c r="A211" s="1">
        <v>46031</v>
      </c>
      <c r="B211" t="s">
        <v>20</v>
      </c>
      <c r="C211" t="s">
        <v>31</v>
      </c>
      <c r="D211">
        <v>1719.96</v>
      </c>
      <c r="E211">
        <v>413.2</v>
      </c>
      <c r="F211">
        <v>1306.76</v>
      </c>
      <c r="G211" t="s">
        <v>22</v>
      </c>
      <c r="H211">
        <f t="shared" si="3"/>
        <v>2</v>
      </c>
    </row>
    <row r="212" spans="1:8">
      <c r="A212" s="1">
        <v>46154</v>
      </c>
      <c r="B212" t="s">
        <v>23</v>
      </c>
      <c r="C212" t="s">
        <v>30</v>
      </c>
      <c r="D212">
        <v>1305.5</v>
      </c>
      <c r="E212">
        <v>572.29</v>
      </c>
      <c r="F212">
        <v>733.21</v>
      </c>
      <c r="G212" t="s">
        <v>22</v>
      </c>
      <c r="H212">
        <f t="shared" si="3"/>
        <v>20</v>
      </c>
    </row>
    <row r="213" spans="1:8">
      <c r="A213" s="1">
        <v>46196</v>
      </c>
      <c r="B213" t="s">
        <v>23</v>
      </c>
      <c r="C213" t="s">
        <v>21</v>
      </c>
      <c r="D213">
        <v>1121.68</v>
      </c>
      <c r="E213">
        <v>2511.8000000000002</v>
      </c>
      <c r="F213">
        <v>-1390.12</v>
      </c>
      <c r="G213" t="s">
        <v>22</v>
      </c>
      <c r="H213">
        <f t="shared" si="3"/>
        <v>26</v>
      </c>
    </row>
    <row r="214" spans="1:8">
      <c r="A214" s="1">
        <v>46059</v>
      </c>
      <c r="B214" t="s">
        <v>20</v>
      </c>
      <c r="C214" t="s">
        <v>31</v>
      </c>
      <c r="D214">
        <v>724.62</v>
      </c>
      <c r="E214">
        <v>1761.03</v>
      </c>
      <c r="F214">
        <v>-1036.4100000000001</v>
      </c>
      <c r="G214" t="s">
        <v>22</v>
      </c>
      <c r="H214">
        <f t="shared" si="3"/>
        <v>6</v>
      </c>
    </row>
    <row r="215" spans="1:8">
      <c r="A215" s="1">
        <v>46170</v>
      </c>
      <c r="B215" t="s">
        <v>23</v>
      </c>
      <c r="C215" t="s">
        <v>26</v>
      </c>
      <c r="D215">
        <v>518.02</v>
      </c>
      <c r="E215">
        <v>649.74</v>
      </c>
      <c r="F215">
        <v>-131.72</v>
      </c>
      <c r="G215" t="s">
        <v>22</v>
      </c>
      <c r="H215">
        <f t="shared" si="3"/>
        <v>22</v>
      </c>
    </row>
    <row r="216" spans="1:8">
      <c r="A216" s="1">
        <v>46145</v>
      </c>
      <c r="B216" t="s">
        <v>23</v>
      </c>
      <c r="C216" t="s">
        <v>24</v>
      </c>
      <c r="D216">
        <v>2253.08</v>
      </c>
      <c r="E216">
        <v>438.45</v>
      </c>
      <c r="F216">
        <v>1814.63</v>
      </c>
      <c r="G216" t="s">
        <v>22</v>
      </c>
      <c r="H216">
        <f t="shared" si="3"/>
        <v>18</v>
      </c>
    </row>
    <row r="217" spans="1:8">
      <c r="A217" s="1">
        <v>46084</v>
      </c>
      <c r="B217" t="s">
        <v>23</v>
      </c>
      <c r="C217" t="s">
        <v>31</v>
      </c>
      <c r="D217">
        <v>2471.0300000000002</v>
      </c>
      <c r="E217">
        <v>930.48</v>
      </c>
      <c r="F217">
        <v>1540.55</v>
      </c>
      <c r="G217" t="s">
        <v>22</v>
      </c>
      <c r="H217">
        <f t="shared" si="3"/>
        <v>10</v>
      </c>
    </row>
    <row r="218" spans="1:8">
      <c r="A218" s="1">
        <v>46132</v>
      </c>
      <c r="B218" t="s">
        <v>23</v>
      </c>
      <c r="C218" t="s">
        <v>32</v>
      </c>
      <c r="D218">
        <v>1319.53</v>
      </c>
      <c r="E218">
        <v>841.93</v>
      </c>
      <c r="F218">
        <v>477.6</v>
      </c>
      <c r="G218" t="s">
        <v>22</v>
      </c>
      <c r="H218">
        <f t="shared" si="3"/>
        <v>17</v>
      </c>
    </row>
    <row r="219" spans="1:8">
      <c r="A219" s="1">
        <v>46133</v>
      </c>
      <c r="B219" t="s">
        <v>20</v>
      </c>
      <c r="C219" t="s">
        <v>24</v>
      </c>
      <c r="D219">
        <v>821.24</v>
      </c>
      <c r="E219">
        <v>1334.26</v>
      </c>
      <c r="F219">
        <v>-513.02</v>
      </c>
      <c r="G219" t="s">
        <v>22</v>
      </c>
      <c r="H219">
        <f t="shared" si="3"/>
        <v>17</v>
      </c>
    </row>
    <row r="220" spans="1:8">
      <c r="A220" s="1">
        <v>46184</v>
      </c>
      <c r="B220" t="s">
        <v>23</v>
      </c>
      <c r="C220" t="s">
        <v>31</v>
      </c>
      <c r="D220">
        <v>2054.11</v>
      </c>
      <c r="E220">
        <v>1388.75</v>
      </c>
      <c r="F220">
        <v>665.36</v>
      </c>
      <c r="G220" t="s">
        <v>22</v>
      </c>
      <c r="H220">
        <f t="shared" si="3"/>
        <v>24</v>
      </c>
    </row>
    <row r="221" spans="1:8">
      <c r="A221" s="1">
        <v>46051</v>
      </c>
      <c r="B221" t="s">
        <v>23</v>
      </c>
      <c r="C221" t="s">
        <v>24</v>
      </c>
      <c r="D221">
        <v>1984.77</v>
      </c>
      <c r="E221">
        <v>1339.22</v>
      </c>
      <c r="F221">
        <v>645.54999999999995</v>
      </c>
      <c r="G221" t="s">
        <v>22</v>
      </c>
      <c r="H221">
        <f t="shared" si="3"/>
        <v>5</v>
      </c>
    </row>
    <row r="222" spans="1:8">
      <c r="A222" s="1">
        <v>46196</v>
      </c>
      <c r="B222" t="s">
        <v>20</v>
      </c>
      <c r="C222" t="s">
        <v>32</v>
      </c>
      <c r="D222">
        <v>1401.15</v>
      </c>
      <c r="E222">
        <v>486.44</v>
      </c>
      <c r="F222">
        <v>914.71</v>
      </c>
      <c r="G222" t="s">
        <v>22</v>
      </c>
      <c r="H222">
        <f t="shared" si="3"/>
        <v>26</v>
      </c>
    </row>
    <row r="223" spans="1:8">
      <c r="A223" s="1">
        <v>46175</v>
      </c>
      <c r="B223" t="s">
        <v>23</v>
      </c>
      <c r="C223" t="s">
        <v>24</v>
      </c>
      <c r="D223">
        <v>1370.12</v>
      </c>
      <c r="E223">
        <v>1051.58</v>
      </c>
      <c r="F223">
        <v>318.54000000000002</v>
      </c>
      <c r="G223" t="s">
        <v>22</v>
      </c>
      <c r="H223">
        <f t="shared" si="3"/>
        <v>23</v>
      </c>
    </row>
    <row r="224" spans="1:8">
      <c r="A224" s="1">
        <v>46106</v>
      </c>
      <c r="B224" t="s">
        <v>23</v>
      </c>
      <c r="C224" t="s">
        <v>27</v>
      </c>
      <c r="D224">
        <v>509.48</v>
      </c>
      <c r="E224">
        <v>1901.2</v>
      </c>
      <c r="F224">
        <v>-1391.72</v>
      </c>
      <c r="G224" t="s">
        <v>22</v>
      </c>
      <c r="H224">
        <f t="shared" si="3"/>
        <v>13</v>
      </c>
    </row>
    <row r="225" spans="1:8">
      <c r="A225" s="1">
        <v>46076</v>
      </c>
      <c r="B225" t="s">
        <v>23</v>
      </c>
      <c r="C225" t="s">
        <v>27</v>
      </c>
      <c r="D225">
        <v>1296.6300000000001</v>
      </c>
      <c r="E225">
        <v>1933.87</v>
      </c>
      <c r="F225">
        <v>-637.24</v>
      </c>
      <c r="G225" t="s">
        <v>33</v>
      </c>
      <c r="H225">
        <f t="shared" si="3"/>
        <v>9</v>
      </c>
    </row>
    <row r="226" spans="1:8">
      <c r="A226" s="1">
        <v>46092</v>
      </c>
      <c r="B226" t="s">
        <v>20</v>
      </c>
      <c r="C226" t="s">
        <v>26</v>
      </c>
      <c r="D226">
        <v>1775.85</v>
      </c>
      <c r="E226">
        <v>384.55</v>
      </c>
      <c r="F226">
        <v>1391.3</v>
      </c>
      <c r="G226" t="s">
        <v>22</v>
      </c>
      <c r="H226">
        <f t="shared" si="3"/>
        <v>11</v>
      </c>
    </row>
    <row r="227" spans="1:8">
      <c r="A227" s="1">
        <v>46029</v>
      </c>
      <c r="B227" t="s">
        <v>23</v>
      </c>
      <c r="C227" t="s">
        <v>30</v>
      </c>
      <c r="D227">
        <v>904.4</v>
      </c>
      <c r="E227">
        <v>579.58000000000004</v>
      </c>
      <c r="F227">
        <v>324.82</v>
      </c>
      <c r="G227" t="s">
        <v>22</v>
      </c>
      <c r="H227">
        <f t="shared" si="3"/>
        <v>2</v>
      </c>
    </row>
    <row r="228" spans="1:8">
      <c r="A228" s="1">
        <v>46189</v>
      </c>
      <c r="B228" t="s">
        <v>20</v>
      </c>
      <c r="C228" t="s">
        <v>32</v>
      </c>
      <c r="D228">
        <v>1711.02</v>
      </c>
      <c r="E228">
        <v>1536.28</v>
      </c>
      <c r="F228">
        <v>174.74</v>
      </c>
      <c r="G228" t="s">
        <v>22</v>
      </c>
      <c r="H228">
        <f t="shared" si="3"/>
        <v>25</v>
      </c>
    </row>
    <row r="229" spans="1:8">
      <c r="A229" s="1">
        <v>46070</v>
      </c>
      <c r="B229" t="s">
        <v>20</v>
      </c>
      <c r="C229" t="s">
        <v>26</v>
      </c>
      <c r="D229">
        <v>2027.95</v>
      </c>
      <c r="E229">
        <v>522.04999999999995</v>
      </c>
      <c r="F229">
        <v>1505.9</v>
      </c>
      <c r="G229" t="s">
        <v>22</v>
      </c>
      <c r="H229">
        <f t="shared" si="3"/>
        <v>8</v>
      </c>
    </row>
    <row r="230" spans="1:8">
      <c r="A230" s="1">
        <v>46057</v>
      </c>
      <c r="B230" t="s">
        <v>23</v>
      </c>
      <c r="C230" t="s">
        <v>30</v>
      </c>
      <c r="D230">
        <v>2296</v>
      </c>
      <c r="E230">
        <v>304.48</v>
      </c>
      <c r="F230">
        <v>1991.52</v>
      </c>
      <c r="G230" t="s">
        <v>22</v>
      </c>
      <c r="H230">
        <f t="shared" si="3"/>
        <v>6</v>
      </c>
    </row>
    <row r="231" spans="1:8">
      <c r="A231" s="1">
        <v>46072</v>
      </c>
      <c r="B231" t="s">
        <v>20</v>
      </c>
      <c r="C231" t="s">
        <v>29</v>
      </c>
      <c r="D231">
        <v>474.68</v>
      </c>
      <c r="E231">
        <v>1279.22</v>
      </c>
      <c r="F231">
        <v>-804.54</v>
      </c>
      <c r="G231" t="s">
        <v>22</v>
      </c>
      <c r="H231">
        <f t="shared" si="3"/>
        <v>8</v>
      </c>
    </row>
    <row r="232" spans="1:8">
      <c r="A232" s="1">
        <v>46192</v>
      </c>
      <c r="B232" t="s">
        <v>23</v>
      </c>
      <c r="C232" t="s">
        <v>25</v>
      </c>
      <c r="D232">
        <v>761.95</v>
      </c>
      <c r="E232">
        <v>1773.16</v>
      </c>
      <c r="F232">
        <v>-1011.21</v>
      </c>
      <c r="G232" t="s">
        <v>22</v>
      </c>
      <c r="H232">
        <f t="shared" si="3"/>
        <v>25</v>
      </c>
    </row>
    <row r="233" spans="1:8">
      <c r="A233" s="1">
        <v>46150</v>
      </c>
      <c r="B233" t="s">
        <v>23</v>
      </c>
      <c r="C233" t="s">
        <v>26</v>
      </c>
      <c r="D233">
        <v>1431.79</v>
      </c>
      <c r="E233">
        <v>1296.32</v>
      </c>
      <c r="F233">
        <v>135.47</v>
      </c>
      <c r="G233" t="s">
        <v>22</v>
      </c>
      <c r="H233">
        <f t="shared" si="3"/>
        <v>19</v>
      </c>
    </row>
    <row r="234" spans="1:8">
      <c r="A234" s="1">
        <v>46101</v>
      </c>
      <c r="B234" t="s">
        <v>23</v>
      </c>
      <c r="C234" t="s">
        <v>26</v>
      </c>
      <c r="D234">
        <v>2530.34</v>
      </c>
      <c r="E234">
        <v>958.73</v>
      </c>
      <c r="F234">
        <v>1571.61</v>
      </c>
      <c r="G234" t="s">
        <v>22</v>
      </c>
      <c r="H234">
        <f t="shared" si="3"/>
        <v>12</v>
      </c>
    </row>
    <row r="235" spans="1:8">
      <c r="A235" s="1">
        <v>46171</v>
      </c>
      <c r="B235" t="s">
        <v>23</v>
      </c>
      <c r="C235" t="s">
        <v>32</v>
      </c>
      <c r="D235">
        <v>844.18</v>
      </c>
      <c r="E235">
        <v>550.24</v>
      </c>
      <c r="F235">
        <v>293.94</v>
      </c>
      <c r="G235" t="s">
        <v>22</v>
      </c>
      <c r="H235">
        <f t="shared" si="3"/>
        <v>22</v>
      </c>
    </row>
    <row r="236" spans="1:8">
      <c r="A236" s="1">
        <v>46203</v>
      </c>
      <c r="B236" t="s">
        <v>20</v>
      </c>
      <c r="C236" t="s">
        <v>26</v>
      </c>
      <c r="D236">
        <v>472.49</v>
      </c>
      <c r="E236">
        <v>1735.32</v>
      </c>
      <c r="F236">
        <v>-1262.83</v>
      </c>
      <c r="G236" t="s">
        <v>22</v>
      </c>
      <c r="H236">
        <f t="shared" si="3"/>
        <v>27</v>
      </c>
    </row>
    <row r="237" spans="1:8">
      <c r="A237" s="1">
        <v>46185</v>
      </c>
      <c r="B237" t="s">
        <v>23</v>
      </c>
      <c r="C237" t="s">
        <v>28</v>
      </c>
      <c r="D237">
        <v>830.76</v>
      </c>
      <c r="E237">
        <v>2269.2800000000002</v>
      </c>
      <c r="F237">
        <v>-1438.52</v>
      </c>
      <c r="G237" t="s">
        <v>22</v>
      </c>
      <c r="H237">
        <f t="shared" si="3"/>
        <v>24</v>
      </c>
    </row>
    <row r="238" spans="1:8">
      <c r="A238" s="1">
        <v>46162</v>
      </c>
      <c r="B238" t="s">
        <v>20</v>
      </c>
      <c r="C238" t="s">
        <v>26</v>
      </c>
      <c r="D238">
        <v>677.52</v>
      </c>
      <c r="E238">
        <v>1834.26</v>
      </c>
      <c r="F238">
        <v>-1156.74</v>
      </c>
      <c r="G238" t="s">
        <v>22</v>
      </c>
      <c r="H238">
        <f t="shared" si="3"/>
        <v>21</v>
      </c>
    </row>
    <row r="239" spans="1:8">
      <c r="A239" s="1">
        <v>46150</v>
      </c>
      <c r="B239" t="s">
        <v>23</v>
      </c>
      <c r="C239" t="s">
        <v>31</v>
      </c>
      <c r="D239">
        <v>2136.6</v>
      </c>
      <c r="E239">
        <v>1935.87</v>
      </c>
      <c r="F239">
        <v>200.73</v>
      </c>
      <c r="G239" t="s">
        <v>22</v>
      </c>
      <c r="H239">
        <f t="shared" si="3"/>
        <v>19</v>
      </c>
    </row>
    <row r="240" spans="1:8">
      <c r="A240" s="1">
        <v>46189</v>
      </c>
      <c r="B240" t="s">
        <v>23</v>
      </c>
      <c r="C240" t="s">
        <v>26</v>
      </c>
      <c r="D240">
        <v>867.74</v>
      </c>
      <c r="E240">
        <v>2447.21</v>
      </c>
      <c r="F240">
        <v>-1579.47</v>
      </c>
      <c r="G240" t="s">
        <v>22</v>
      </c>
      <c r="H240">
        <f t="shared" si="3"/>
        <v>25</v>
      </c>
    </row>
    <row r="241" spans="1:8">
      <c r="A241" s="1">
        <v>46054</v>
      </c>
      <c r="B241" t="s">
        <v>23</v>
      </c>
      <c r="C241" t="s">
        <v>26</v>
      </c>
      <c r="D241">
        <v>1708.74</v>
      </c>
      <c r="E241">
        <v>2325.08</v>
      </c>
      <c r="F241">
        <v>-616.34</v>
      </c>
      <c r="G241" t="s">
        <v>22</v>
      </c>
      <c r="H241">
        <f t="shared" si="3"/>
        <v>5</v>
      </c>
    </row>
    <row r="242" spans="1:8">
      <c r="A242" s="1">
        <v>46112</v>
      </c>
      <c r="B242" t="s">
        <v>23</v>
      </c>
      <c r="C242" t="s">
        <v>27</v>
      </c>
      <c r="D242">
        <v>2099.31</v>
      </c>
      <c r="E242">
        <v>530.24</v>
      </c>
      <c r="F242">
        <v>1569.07</v>
      </c>
      <c r="G242" t="s">
        <v>22</v>
      </c>
      <c r="H242">
        <f t="shared" si="3"/>
        <v>14</v>
      </c>
    </row>
    <row r="243" spans="1:8">
      <c r="A243" s="1">
        <v>46120</v>
      </c>
      <c r="B243" t="s">
        <v>20</v>
      </c>
      <c r="C243" t="s">
        <v>30</v>
      </c>
      <c r="D243">
        <v>360.33</v>
      </c>
      <c r="E243">
        <v>822.24</v>
      </c>
      <c r="F243">
        <v>-461.91</v>
      </c>
      <c r="G243" t="s">
        <v>22</v>
      </c>
      <c r="H243">
        <f t="shared" si="3"/>
        <v>15</v>
      </c>
    </row>
    <row r="244" spans="1:8">
      <c r="A244" s="1">
        <v>46079</v>
      </c>
      <c r="B244" t="s">
        <v>20</v>
      </c>
      <c r="C244" t="s">
        <v>27</v>
      </c>
      <c r="D244">
        <v>1565.14</v>
      </c>
      <c r="E244">
        <v>1086.51</v>
      </c>
      <c r="F244">
        <v>478.63</v>
      </c>
      <c r="G244" t="s">
        <v>22</v>
      </c>
      <c r="H244">
        <f t="shared" si="3"/>
        <v>9</v>
      </c>
    </row>
    <row r="245" spans="1:8">
      <c r="A245" s="1">
        <v>46038</v>
      </c>
      <c r="B245" t="s">
        <v>23</v>
      </c>
      <c r="C245" t="s">
        <v>24</v>
      </c>
      <c r="D245">
        <v>1531.05</v>
      </c>
      <c r="E245">
        <v>2436.21</v>
      </c>
      <c r="F245">
        <v>-905.16</v>
      </c>
      <c r="G245" t="s">
        <v>22</v>
      </c>
      <c r="H245">
        <f t="shared" si="3"/>
        <v>3</v>
      </c>
    </row>
    <row r="246" spans="1:8">
      <c r="A246" s="1">
        <v>46093</v>
      </c>
      <c r="B246" t="s">
        <v>23</v>
      </c>
      <c r="C246" t="s">
        <v>31</v>
      </c>
      <c r="D246">
        <v>1043.95</v>
      </c>
      <c r="E246">
        <v>1587</v>
      </c>
      <c r="F246">
        <v>-543.04999999999995</v>
      </c>
      <c r="G246" t="s">
        <v>22</v>
      </c>
      <c r="H246">
        <f t="shared" si="3"/>
        <v>11</v>
      </c>
    </row>
    <row r="247" spans="1:8">
      <c r="A247" s="1">
        <v>46090</v>
      </c>
      <c r="B247" t="s">
        <v>20</v>
      </c>
      <c r="C247" t="s">
        <v>24</v>
      </c>
      <c r="D247">
        <v>813.73</v>
      </c>
      <c r="E247">
        <v>507.2</v>
      </c>
      <c r="F247">
        <v>306.52999999999997</v>
      </c>
      <c r="G247" t="s">
        <v>22</v>
      </c>
      <c r="H247">
        <f t="shared" si="3"/>
        <v>11</v>
      </c>
    </row>
    <row r="248" spans="1:8">
      <c r="A248" s="1">
        <v>46063</v>
      </c>
      <c r="B248" t="s">
        <v>20</v>
      </c>
      <c r="C248" t="s">
        <v>21</v>
      </c>
      <c r="D248">
        <v>1248.52</v>
      </c>
      <c r="E248">
        <v>1712.49</v>
      </c>
      <c r="F248">
        <v>-463.97</v>
      </c>
      <c r="G248" t="s">
        <v>22</v>
      </c>
      <c r="H248">
        <f t="shared" si="3"/>
        <v>7</v>
      </c>
    </row>
    <row r="249" spans="1:8">
      <c r="A249" s="1">
        <v>46056</v>
      </c>
      <c r="B249" t="s">
        <v>20</v>
      </c>
      <c r="C249" t="s">
        <v>31</v>
      </c>
      <c r="D249">
        <v>1852.47</v>
      </c>
      <c r="E249">
        <v>676.79</v>
      </c>
      <c r="F249">
        <v>1175.68</v>
      </c>
      <c r="G249" t="s">
        <v>22</v>
      </c>
      <c r="H249">
        <f t="shared" si="3"/>
        <v>6</v>
      </c>
    </row>
    <row r="250" spans="1:8">
      <c r="A250" s="1">
        <v>46045</v>
      </c>
      <c r="B250" t="s">
        <v>20</v>
      </c>
      <c r="C250" t="s">
        <v>21</v>
      </c>
      <c r="D250">
        <v>1558.06</v>
      </c>
      <c r="E250">
        <v>2077.54</v>
      </c>
      <c r="F250">
        <v>-519.48</v>
      </c>
      <c r="G250" t="s">
        <v>22</v>
      </c>
      <c r="H250">
        <f t="shared" si="3"/>
        <v>4</v>
      </c>
    </row>
    <row r="251" spans="1:8">
      <c r="A251" s="1">
        <v>46155</v>
      </c>
      <c r="B251" t="s">
        <v>20</v>
      </c>
      <c r="C251" t="s">
        <v>25</v>
      </c>
      <c r="D251">
        <v>1065.2</v>
      </c>
      <c r="E251">
        <v>1527.65</v>
      </c>
      <c r="F251">
        <v>-462.45</v>
      </c>
      <c r="G251" t="s">
        <v>22</v>
      </c>
      <c r="H251">
        <f t="shared" si="3"/>
        <v>20</v>
      </c>
    </row>
    <row r="252" spans="1:8">
      <c r="A252" s="1">
        <v>46073</v>
      </c>
      <c r="B252" t="s">
        <v>20</v>
      </c>
      <c r="C252" t="s">
        <v>30</v>
      </c>
      <c r="D252">
        <v>1733.98</v>
      </c>
      <c r="E252">
        <v>1901.55</v>
      </c>
      <c r="F252">
        <v>-167.57</v>
      </c>
      <c r="G252" t="s">
        <v>22</v>
      </c>
      <c r="H252">
        <f t="shared" si="3"/>
        <v>8</v>
      </c>
    </row>
    <row r="253" spans="1:8">
      <c r="A253" s="1">
        <v>46104</v>
      </c>
      <c r="B253" t="s">
        <v>23</v>
      </c>
      <c r="C253" t="s">
        <v>26</v>
      </c>
      <c r="D253">
        <v>2143.56</v>
      </c>
      <c r="E253">
        <v>1764.41</v>
      </c>
      <c r="F253">
        <v>379.15</v>
      </c>
      <c r="G253" t="s">
        <v>22</v>
      </c>
      <c r="H253">
        <f t="shared" si="3"/>
        <v>13</v>
      </c>
    </row>
    <row r="254" spans="1:8">
      <c r="A254" s="1">
        <v>46070</v>
      </c>
      <c r="B254" t="s">
        <v>20</v>
      </c>
      <c r="C254" t="s">
        <v>31</v>
      </c>
      <c r="D254">
        <v>1158.04</v>
      </c>
      <c r="E254">
        <v>337.05</v>
      </c>
      <c r="F254">
        <v>820.99</v>
      </c>
      <c r="G254" t="s">
        <v>22</v>
      </c>
      <c r="H254">
        <f t="shared" si="3"/>
        <v>8</v>
      </c>
    </row>
    <row r="255" spans="1:8">
      <c r="A255" s="1">
        <v>46035</v>
      </c>
      <c r="B255" t="s">
        <v>20</v>
      </c>
      <c r="C255" t="s">
        <v>30</v>
      </c>
      <c r="D255">
        <v>1014.86</v>
      </c>
      <c r="E255">
        <v>721.02</v>
      </c>
      <c r="F255">
        <v>293.83999999999997</v>
      </c>
      <c r="G255" t="s">
        <v>22</v>
      </c>
      <c r="H255">
        <f t="shared" si="3"/>
        <v>3</v>
      </c>
    </row>
    <row r="256" spans="1:8">
      <c r="A256" s="1">
        <v>46042</v>
      </c>
      <c r="B256" t="s">
        <v>20</v>
      </c>
      <c r="C256" t="s">
        <v>25</v>
      </c>
      <c r="D256">
        <v>1860.92</v>
      </c>
      <c r="E256">
        <v>1344.14</v>
      </c>
      <c r="F256">
        <v>516.78</v>
      </c>
      <c r="G256" t="s">
        <v>22</v>
      </c>
      <c r="H256">
        <f t="shared" si="3"/>
        <v>4</v>
      </c>
    </row>
    <row r="257" spans="1:8">
      <c r="A257" s="1">
        <v>46182</v>
      </c>
      <c r="B257" t="s">
        <v>23</v>
      </c>
      <c r="C257" t="s">
        <v>26</v>
      </c>
      <c r="D257">
        <v>2404.84</v>
      </c>
      <c r="E257">
        <v>1616.4</v>
      </c>
      <c r="F257">
        <v>788.44</v>
      </c>
      <c r="G257" t="s">
        <v>22</v>
      </c>
      <c r="H257">
        <f t="shared" si="3"/>
        <v>24</v>
      </c>
    </row>
    <row r="258" spans="1:8">
      <c r="A258" s="1">
        <v>46050</v>
      </c>
      <c r="B258" t="s">
        <v>20</v>
      </c>
      <c r="C258" t="s">
        <v>28</v>
      </c>
      <c r="D258">
        <v>452.08</v>
      </c>
      <c r="E258">
        <v>244.74</v>
      </c>
      <c r="F258">
        <v>207.34</v>
      </c>
      <c r="G258" t="s">
        <v>22</v>
      </c>
      <c r="H258">
        <f t="shared" ref="H258:H321" si="4">WEEKNUM(A258,2)</f>
        <v>5</v>
      </c>
    </row>
    <row r="259" spans="1:8">
      <c r="A259" s="1">
        <v>46192</v>
      </c>
      <c r="B259" t="s">
        <v>20</v>
      </c>
      <c r="C259" t="s">
        <v>21</v>
      </c>
      <c r="D259">
        <v>768.82</v>
      </c>
      <c r="E259">
        <v>1942.57</v>
      </c>
      <c r="F259">
        <v>-1173.75</v>
      </c>
      <c r="G259" t="s">
        <v>22</v>
      </c>
      <c r="H259">
        <f t="shared" si="4"/>
        <v>25</v>
      </c>
    </row>
    <row r="260" spans="1:8">
      <c r="A260" s="1">
        <v>46026</v>
      </c>
      <c r="B260" t="s">
        <v>23</v>
      </c>
      <c r="C260" t="s">
        <v>28</v>
      </c>
      <c r="D260">
        <v>1733.48</v>
      </c>
      <c r="E260">
        <v>1694.75</v>
      </c>
      <c r="F260">
        <v>38.729999999999997</v>
      </c>
      <c r="G260" t="s">
        <v>22</v>
      </c>
      <c r="H260">
        <f t="shared" si="4"/>
        <v>1</v>
      </c>
    </row>
    <row r="261" spans="1:8">
      <c r="A261" s="1">
        <v>46036</v>
      </c>
      <c r="B261" t="s">
        <v>23</v>
      </c>
      <c r="C261" t="s">
        <v>29</v>
      </c>
      <c r="D261">
        <v>320.33999999999997</v>
      </c>
      <c r="E261">
        <v>1344.29</v>
      </c>
      <c r="F261">
        <v>-1023.95</v>
      </c>
      <c r="G261" t="s">
        <v>22</v>
      </c>
      <c r="H261">
        <f t="shared" si="4"/>
        <v>3</v>
      </c>
    </row>
    <row r="262" spans="1:8">
      <c r="A262" s="1">
        <v>46108</v>
      </c>
      <c r="B262" t="s">
        <v>23</v>
      </c>
      <c r="C262" t="s">
        <v>21</v>
      </c>
      <c r="D262">
        <v>761.61</v>
      </c>
      <c r="E262">
        <v>774</v>
      </c>
      <c r="F262">
        <v>-12.39</v>
      </c>
      <c r="G262" t="s">
        <v>22</v>
      </c>
      <c r="H262">
        <f t="shared" si="4"/>
        <v>13</v>
      </c>
    </row>
    <row r="263" spans="1:8">
      <c r="A263" s="1">
        <v>46145</v>
      </c>
      <c r="B263" t="s">
        <v>20</v>
      </c>
      <c r="C263" t="s">
        <v>28</v>
      </c>
      <c r="D263">
        <v>1671.65</v>
      </c>
      <c r="E263">
        <v>466.77</v>
      </c>
      <c r="F263">
        <v>1204.8800000000001</v>
      </c>
      <c r="G263" t="s">
        <v>22</v>
      </c>
      <c r="H263">
        <f t="shared" si="4"/>
        <v>18</v>
      </c>
    </row>
    <row r="264" spans="1:8">
      <c r="A264" s="1">
        <v>46121</v>
      </c>
      <c r="B264" t="s">
        <v>23</v>
      </c>
      <c r="C264" t="s">
        <v>31</v>
      </c>
      <c r="D264">
        <v>2477.1799999999998</v>
      </c>
      <c r="E264">
        <v>1092.83</v>
      </c>
      <c r="F264">
        <v>1384.35</v>
      </c>
      <c r="G264" t="s">
        <v>22</v>
      </c>
      <c r="H264">
        <f t="shared" si="4"/>
        <v>15</v>
      </c>
    </row>
    <row r="265" spans="1:8">
      <c r="A265" s="1">
        <v>46148</v>
      </c>
      <c r="B265" t="s">
        <v>20</v>
      </c>
      <c r="C265" t="s">
        <v>31</v>
      </c>
      <c r="D265">
        <v>1126.1300000000001</v>
      </c>
      <c r="E265">
        <v>1048.24</v>
      </c>
      <c r="F265">
        <v>77.89</v>
      </c>
      <c r="G265" t="s">
        <v>22</v>
      </c>
      <c r="H265">
        <f t="shared" si="4"/>
        <v>19</v>
      </c>
    </row>
    <row r="266" spans="1:8">
      <c r="A266" s="1">
        <v>46062</v>
      </c>
      <c r="B266" t="s">
        <v>20</v>
      </c>
      <c r="C266" t="s">
        <v>25</v>
      </c>
      <c r="D266">
        <v>644.78</v>
      </c>
      <c r="E266">
        <v>983.18</v>
      </c>
      <c r="F266">
        <v>-338.4</v>
      </c>
      <c r="G266" t="s">
        <v>22</v>
      </c>
      <c r="H266">
        <f t="shared" si="4"/>
        <v>7</v>
      </c>
    </row>
    <row r="267" spans="1:8">
      <c r="A267" s="1">
        <v>46059</v>
      </c>
      <c r="B267" t="s">
        <v>20</v>
      </c>
      <c r="C267" t="s">
        <v>27</v>
      </c>
      <c r="D267">
        <v>559.59</v>
      </c>
      <c r="E267">
        <v>2194.39</v>
      </c>
      <c r="F267">
        <v>-1634.8</v>
      </c>
      <c r="G267" t="s">
        <v>22</v>
      </c>
      <c r="H267">
        <f t="shared" si="4"/>
        <v>6</v>
      </c>
    </row>
    <row r="268" spans="1:8">
      <c r="A268" s="1">
        <v>46052</v>
      </c>
      <c r="B268" t="s">
        <v>23</v>
      </c>
      <c r="C268" t="s">
        <v>27</v>
      </c>
      <c r="D268">
        <v>349.44</v>
      </c>
      <c r="E268">
        <v>2198.94</v>
      </c>
      <c r="F268">
        <v>-1849.5</v>
      </c>
      <c r="G268" t="s">
        <v>22</v>
      </c>
      <c r="H268">
        <f t="shared" si="4"/>
        <v>5</v>
      </c>
    </row>
    <row r="269" spans="1:8">
      <c r="A269" s="1">
        <v>46140</v>
      </c>
      <c r="B269" t="s">
        <v>23</v>
      </c>
      <c r="C269" t="s">
        <v>31</v>
      </c>
      <c r="D269">
        <v>1351.53</v>
      </c>
      <c r="E269">
        <v>1545.17</v>
      </c>
      <c r="F269">
        <v>-193.64</v>
      </c>
      <c r="G269" t="s">
        <v>22</v>
      </c>
      <c r="H269">
        <f t="shared" si="4"/>
        <v>18</v>
      </c>
    </row>
    <row r="270" spans="1:8">
      <c r="A270" s="1">
        <v>46156</v>
      </c>
      <c r="B270" t="s">
        <v>23</v>
      </c>
      <c r="C270" t="s">
        <v>32</v>
      </c>
      <c r="D270">
        <v>1103.5</v>
      </c>
      <c r="E270">
        <v>2010.6</v>
      </c>
      <c r="F270">
        <v>-907.1</v>
      </c>
      <c r="G270" t="s">
        <v>22</v>
      </c>
      <c r="H270">
        <f t="shared" si="4"/>
        <v>20</v>
      </c>
    </row>
    <row r="271" spans="1:8">
      <c r="A271" s="1">
        <v>46112</v>
      </c>
      <c r="B271" t="s">
        <v>20</v>
      </c>
      <c r="C271" t="s">
        <v>32</v>
      </c>
      <c r="D271">
        <v>1824.24</v>
      </c>
      <c r="E271">
        <v>1963.49</v>
      </c>
      <c r="F271">
        <v>-139.25</v>
      </c>
      <c r="G271" t="s">
        <v>22</v>
      </c>
      <c r="H271">
        <f t="shared" si="4"/>
        <v>14</v>
      </c>
    </row>
    <row r="272" spans="1:8">
      <c r="A272" s="1">
        <v>46044</v>
      </c>
      <c r="B272" t="s">
        <v>23</v>
      </c>
      <c r="C272" t="s">
        <v>29</v>
      </c>
      <c r="D272">
        <v>1242.95</v>
      </c>
      <c r="E272">
        <v>1948.51</v>
      </c>
      <c r="F272">
        <v>-705.56</v>
      </c>
      <c r="G272" t="s">
        <v>22</v>
      </c>
      <c r="H272">
        <f t="shared" si="4"/>
        <v>4</v>
      </c>
    </row>
    <row r="273" spans="1:8">
      <c r="A273" s="1">
        <v>46127</v>
      </c>
      <c r="B273" t="s">
        <v>20</v>
      </c>
      <c r="C273" t="s">
        <v>24</v>
      </c>
      <c r="D273">
        <v>1837.85</v>
      </c>
      <c r="E273">
        <v>301.19</v>
      </c>
      <c r="F273">
        <v>1536.66</v>
      </c>
      <c r="G273" t="s">
        <v>22</v>
      </c>
      <c r="H273">
        <f t="shared" si="4"/>
        <v>16</v>
      </c>
    </row>
    <row r="274" spans="1:8">
      <c r="A274" s="1">
        <v>46196</v>
      </c>
      <c r="B274" t="s">
        <v>20</v>
      </c>
      <c r="C274" t="s">
        <v>24</v>
      </c>
      <c r="D274">
        <v>290.24</v>
      </c>
      <c r="E274">
        <v>1304.75</v>
      </c>
      <c r="F274">
        <v>-1014.51</v>
      </c>
      <c r="G274" t="s">
        <v>22</v>
      </c>
      <c r="H274">
        <f t="shared" si="4"/>
        <v>26</v>
      </c>
    </row>
    <row r="275" spans="1:8">
      <c r="A275" s="1">
        <v>46134</v>
      </c>
      <c r="B275" t="s">
        <v>23</v>
      </c>
      <c r="C275" t="s">
        <v>28</v>
      </c>
      <c r="D275">
        <v>871.33</v>
      </c>
      <c r="E275">
        <v>2573.8200000000002</v>
      </c>
      <c r="F275">
        <v>-1702.49</v>
      </c>
      <c r="G275" t="s">
        <v>22</v>
      </c>
      <c r="H275">
        <f t="shared" si="4"/>
        <v>17</v>
      </c>
    </row>
    <row r="276" spans="1:8">
      <c r="A276" s="1">
        <v>46188</v>
      </c>
      <c r="B276" t="s">
        <v>23</v>
      </c>
      <c r="C276" t="s">
        <v>31</v>
      </c>
      <c r="D276">
        <v>2549.6</v>
      </c>
      <c r="E276">
        <v>902.32</v>
      </c>
      <c r="F276">
        <v>1647.28</v>
      </c>
      <c r="G276" t="s">
        <v>22</v>
      </c>
      <c r="H276">
        <f t="shared" si="4"/>
        <v>25</v>
      </c>
    </row>
    <row r="277" spans="1:8">
      <c r="A277" s="1">
        <v>46148</v>
      </c>
      <c r="B277" t="s">
        <v>20</v>
      </c>
      <c r="C277" t="s">
        <v>30</v>
      </c>
      <c r="D277">
        <v>574.08000000000004</v>
      </c>
      <c r="E277">
        <v>1140</v>
      </c>
      <c r="F277">
        <v>-565.91999999999996</v>
      </c>
      <c r="G277" t="s">
        <v>22</v>
      </c>
      <c r="H277">
        <f t="shared" si="4"/>
        <v>19</v>
      </c>
    </row>
    <row r="278" spans="1:8">
      <c r="A278" s="1">
        <v>46184</v>
      </c>
      <c r="B278" t="s">
        <v>20</v>
      </c>
      <c r="C278" t="s">
        <v>30</v>
      </c>
      <c r="D278">
        <v>1605.79</v>
      </c>
      <c r="E278">
        <v>1059.9000000000001</v>
      </c>
      <c r="F278">
        <v>545.89</v>
      </c>
      <c r="G278" t="s">
        <v>22</v>
      </c>
      <c r="H278">
        <f t="shared" si="4"/>
        <v>24</v>
      </c>
    </row>
    <row r="279" spans="1:8">
      <c r="A279" s="1">
        <v>46069</v>
      </c>
      <c r="B279" t="s">
        <v>23</v>
      </c>
      <c r="C279" t="s">
        <v>31</v>
      </c>
      <c r="D279">
        <v>749.42</v>
      </c>
      <c r="E279">
        <v>1818.32</v>
      </c>
      <c r="F279">
        <v>-1068.9000000000001</v>
      </c>
      <c r="G279" t="s">
        <v>22</v>
      </c>
      <c r="H279">
        <f t="shared" si="4"/>
        <v>8</v>
      </c>
    </row>
    <row r="280" spans="1:8">
      <c r="A280" s="1">
        <v>46149</v>
      </c>
      <c r="B280" t="s">
        <v>20</v>
      </c>
      <c r="C280" t="s">
        <v>27</v>
      </c>
      <c r="D280">
        <v>1130.27</v>
      </c>
      <c r="E280">
        <v>1082.71</v>
      </c>
      <c r="F280">
        <v>47.56</v>
      </c>
      <c r="G280" t="s">
        <v>22</v>
      </c>
      <c r="H280">
        <f t="shared" si="4"/>
        <v>19</v>
      </c>
    </row>
    <row r="281" spans="1:8">
      <c r="A281" s="1">
        <v>46028</v>
      </c>
      <c r="B281" t="s">
        <v>20</v>
      </c>
      <c r="C281" t="s">
        <v>28</v>
      </c>
      <c r="D281">
        <v>1414.17</v>
      </c>
      <c r="E281">
        <v>1088.6199999999999</v>
      </c>
      <c r="F281">
        <v>325.55</v>
      </c>
      <c r="G281" t="s">
        <v>22</v>
      </c>
      <c r="H281">
        <f t="shared" si="4"/>
        <v>2</v>
      </c>
    </row>
    <row r="282" spans="1:8">
      <c r="A282" s="1">
        <v>46175</v>
      </c>
      <c r="B282" t="s">
        <v>20</v>
      </c>
      <c r="C282" t="s">
        <v>21</v>
      </c>
      <c r="D282">
        <v>1074.1400000000001</v>
      </c>
      <c r="E282">
        <v>1688.48</v>
      </c>
      <c r="F282">
        <v>-614.34</v>
      </c>
      <c r="G282" t="s">
        <v>22</v>
      </c>
      <c r="H282">
        <f t="shared" si="4"/>
        <v>23</v>
      </c>
    </row>
    <row r="283" spans="1:8">
      <c r="A283" s="1">
        <v>46150</v>
      </c>
      <c r="B283" t="s">
        <v>23</v>
      </c>
      <c r="C283" t="s">
        <v>29</v>
      </c>
      <c r="D283">
        <v>1150.28</v>
      </c>
      <c r="E283">
        <v>2159.4899999999998</v>
      </c>
      <c r="F283">
        <v>-1009.21</v>
      </c>
      <c r="G283" t="s">
        <v>22</v>
      </c>
      <c r="H283">
        <f t="shared" si="4"/>
        <v>19</v>
      </c>
    </row>
    <row r="284" spans="1:8">
      <c r="A284" s="1">
        <v>46162</v>
      </c>
      <c r="B284" t="s">
        <v>23</v>
      </c>
      <c r="C284" t="s">
        <v>26</v>
      </c>
      <c r="D284">
        <v>281.18</v>
      </c>
      <c r="E284">
        <v>2232.0700000000002</v>
      </c>
      <c r="F284">
        <v>-1950.89</v>
      </c>
      <c r="G284" t="s">
        <v>22</v>
      </c>
      <c r="H284">
        <f t="shared" si="4"/>
        <v>21</v>
      </c>
    </row>
    <row r="285" spans="1:8">
      <c r="A285" s="1">
        <v>46157</v>
      </c>
      <c r="B285" t="s">
        <v>23</v>
      </c>
      <c r="C285" t="s">
        <v>29</v>
      </c>
      <c r="D285">
        <v>1939</v>
      </c>
      <c r="E285">
        <v>657.16</v>
      </c>
      <c r="F285">
        <v>1281.8399999999999</v>
      </c>
      <c r="G285" t="s">
        <v>22</v>
      </c>
      <c r="H285">
        <f t="shared" si="4"/>
        <v>20</v>
      </c>
    </row>
    <row r="286" spans="1:8">
      <c r="A286" s="1">
        <v>46073</v>
      </c>
      <c r="B286" t="s">
        <v>20</v>
      </c>
      <c r="C286" t="s">
        <v>31</v>
      </c>
      <c r="D286">
        <v>1638.4</v>
      </c>
      <c r="E286">
        <v>1866.83</v>
      </c>
      <c r="F286">
        <v>-228.43</v>
      </c>
      <c r="G286" t="s">
        <v>22</v>
      </c>
      <c r="H286">
        <f t="shared" si="4"/>
        <v>8</v>
      </c>
    </row>
    <row r="287" spans="1:8">
      <c r="A287" s="1">
        <v>46055</v>
      </c>
      <c r="B287" t="s">
        <v>20</v>
      </c>
      <c r="C287" t="s">
        <v>28</v>
      </c>
      <c r="D287">
        <v>1656</v>
      </c>
      <c r="E287">
        <v>1789.73</v>
      </c>
      <c r="F287">
        <v>-133.72999999999999</v>
      </c>
      <c r="G287" t="s">
        <v>22</v>
      </c>
      <c r="H287">
        <f t="shared" si="4"/>
        <v>6</v>
      </c>
    </row>
    <row r="288" spans="1:8">
      <c r="A288" s="1">
        <v>46162</v>
      </c>
      <c r="B288" t="s">
        <v>23</v>
      </c>
      <c r="C288" t="s">
        <v>29</v>
      </c>
      <c r="D288">
        <v>2468.4499999999998</v>
      </c>
      <c r="E288">
        <v>1803.72</v>
      </c>
      <c r="F288">
        <v>664.73</v>
      </c>
      <c r="G288" t="s">
        <v>22</v>
      </c>
      <c r="H288">
        <f t="shared" si="4"/>
        <v>21</v>
      </c>
    </row>
    <row r="289" spans="1:8">
      <c r="A289" s="1">
        <v>46023</v>
      </c>
      <c r="B289" t="s">
        <v>20</v>
      </c>
      <c r="C289" t="s">
        <v>25</v>
      </c>
      <c r="D289">
        <v>607.58000000000004</v>
      </c>
      <c r="E289">
        <v>1659.77</v>
      </c>
      <c r="F289">
        <v>-1052.19</v>
      </c>
      <c r="G289" t="s">
        <v>22</v>
      </c>
      <c r="H289">
        <f t="shared" si="4"/>
        <v>1</v>
      </c>
    </row>
    <row r="290" spans="1:8">
      <c r="A290" s="1">
        <v>46057</v>
      </c>
      <c r="B290" t="s">
        <v>23</v>
      </c>
      <c r="C290" t="s">
        <v>25</v>
      </c>
      <c r="D290">
        <v>1993.56</v>
      </c>
      <c r="E290">
        <v>1057.03</v>
      </c>
      <c r="F290">
        <v>936.53</v>
      </c>
      <c r="G290" t="s">
        <v>22</v>
      </c>
      <c r="H290">
        <f t="shared" si="4"/>
        <v>6</v>
      </c>
    </row>
    <row r="291" spans="1:8">
      <c r="A291" s="1">
        <v>46202</v>
      </c>
      <c r="B291" t="s">
        <v>23</v>
      </c>
      <c r="C291" t="s">
        <v>28</v>
      </c>
      <c r="D291">
        <v>1230.3800000000001</v>
      </c>
      <c r="E291">
        <v>1457.25</v>
      </c>
      <c r="F291">
        <v>-226.87</v>
      </c>
      <c r="G291" t="s">
        <v>22</v>
      </c>
      <c r="H291">
        <f t="shared" si="4"/>
        <v>27</v>
      </c>
    </row>
    <row r="292" spans="1:8">
      <c r="A292" s="1">
        <v>46135</v>
      </c>
      <c r="B292" t="s">
        <v>20</v>
      </c>
      <c r="C292" t="s">
        <v>30</v>
      </c>
      <c r="D292">
        <v>1385.05</v>
      </c>
      <c r="E292">
        <v>972.84</v>
      </c>
      <c r="F292">
        <v>412.21</v>
      </c>
      <c r="G292" t="s">
        <v>22</v>
      </c>
      <c r="H292">
        <f t="shared" si="4"/>
        <v>17</v>
      </c>
    </row>
    <row r="293" spans="1:8">
      <c r="A293" s="1">
        <v>46167</v>
      </c>
      <c r="B293" t="s">
        <v>23</v>
      </c>
      <c r="C293" t="s">
        <v>31</v>
      </c>
      <c r="D293">
        <v>1842.63</v>
      </c>
      <c r="E293">
        <v>872.9</v>
      </c>
      <c r="F293">
        <v>969.73</v>
      </c>
      <c r="G293" t="s">
        <v>22</v>
      </c>
      <c r="H293">
        <f t="shared" si="4"/>
        <v>22</v>
      </c>
    </row>
    <row r="294" spans="1:8">
      <c r="A294" s="1">
        <v>46161</v>
      </c>
      <c r="B294" t="s">
        <v>23</v>
      </c>
      <c r="C294" t="s">
        <v>27</v>
      </c>
      <c r="D294">
        <v>991.68</v>
      </c>
      <c r="E294">
        <v>1111.6199999999999</v>
      </c>
      <c r="F294">
        <v>-119.94</v>
      </c>
      <c r="G294" t="s">
        <v>22</v>
      </c>
      <c r="H294">
        <f t="shared" si="4"/>
        <v>21</v>
      </c>
    </row>
    <row r="295" spans="1:8">
      <c r="A295" s="1">
        <v>46034</v>
      </c>
      <c r="B295" t="s">
        <v>20</v>
      </c>
      <c r="C295" t="s">
        <v>21</v>
      </c>
      <c r="D295">
        <v>619.33000000000004</v>
      </c>
      <c r="E295">
        <v>2006.11</v>
      </c>
      <c r="F295">
        <v>-1386.78</v>
      </c>
      <c r="G295" t="s">
        <v>22</v>
      </c>
      <c r="H295">
        <f t="shared" si="4"/>
        <v>3</v>
      </c>
    </row>
    <row r="296" spans="1:8">
      <c r="A296" s="1">
        <v>46164</v>
      </c>
      <c r="B296" t="s">
        <v>23</v>
      </c>
      <c r="C296" t="s">
        <v>31</v>
      </c>
      <c r="D296">
        <v>2580.02</v>
      </c>
      <c r="E296">
        <v>1759.75</v>
      </c>
      <c r="F296">
        <v>820.27</v>
      </c>
      <c r="G296" t="s">
        <v>22</v>
      </c>
      <c r="H296">
        <f t="shared" si="4"/>
        <v>21</v>
      </c>
    </row>
    <row r="297" spans="1:8">
      <c r="A297" s="1">
        <v>46112</v>
      </c>
      <c r="B297" t="s">
        <v>23</v>
      </c>
      <c r="C297" t="s">
        <v>29</v>
      </c>
      <c r="D297">
        <v>888.51</v>
      </c>
      <c r="E297">
        <v>2191.4299999999998</v>
      </c>
      <c r="F297">
        <v>-1302.92</v>
      </c>
      <c r="G297" t="s">
        <v>22</v>
      </c>
      <c r="H297">
        <f t="shared" si="4"/>
        <v>14</v>
      </c>
    </row>
    <row r="298" spans="1:8">
      <c r="A298" s="1">
        <v>46162</v>
      </c>
      <c r="B298" t="s">
        <v>23</v>
      </c>
      <c r="C298" t="s">
        <v>32</v>
      </c>
      <c r="D298">
        <v>2400.56</v>
      </c>
      <c r="E298">
        <v>1501.13</v>
      </c>
      <c r="F298">
        <v>899.43</v>
      </c>
      <c r="G298" t="s">
        <v>22</v>
      </c>
      <c r="H298">
        <f t="shared" si="4"/>
        <v>21</v>
      </c>
    </row>
    <row r="299" spans="1:8">
      <c r="A299" s="1">
        <v>46175</v>
      </c>
      <c r="B299" t="s">
        <v>23</v>
      </c>
      <c r="C299" t="s">
        <v>26</v>
      </c>
      <c r="D299">
        <v>2114.4499999999998</v>
      </c>
      <c r="E299">
        <v>2195.08</v>
      </c>
      <c r="F299">
        <v>-80.63</v>
      </c>
      <c r="G299" t="s">
        <v>22</v>
      </c>
      <c r="H299">
        <f t="shared" si="4"/>
        <v>23</v>
      </c>
    </row>
    <row r="300" spans="1:8">
      <c r="A300" s="1">
        <v>46111</v>
      </c>
      <c r="B300" t="s">
        <v>23</v>
      </c>
      <c r="C300" t="s">
        <v>26</v>
      </c>
      <c r="D300">
        <v>1907.36</v>
      </c>
      <c r="E300">
        <v>1438.18</v>
      </c>
      <c r="F300">
        <v>469.18</v>
      </c>
      <c r="G300" t="s">
        <v>22</v>
      </c>
      <c r="H300">
        <f t="shared" si="4"/>
        <v>14</v>
      </c>
    </row>
    <row r="301" spans="1:8">
      <c r="A301" s="1">
        <v>46161</v>
      </c>
      <c r="B301" t="s">
        <v>20</v>
      </c>
      <c r="C301" t="s">
        <v>30</v>
      </c>
      <c r="D301">
        <v>887.27</v>
      </c>
      <c r="E301">
        <v>1959.76</v>
      </c>
      <c r="F301">
        <v>-1072.49</v>
      </c>
      <c r="G301" t="s">
        <v>22</v>
      </c>
      <c r="H301">
        <f t="shared" si="4"/>
        <v>21</v>
      </c>
    </row>
    <row r="302" spans="1:8">
      <c r="A302" s="1">
        <v>46111</v>
      </c>
      <c r="B302" t="s">
        <v>20</v>
      </c>
      <c r="C302" t="s">
        <v>27</v>
      </c>
      <c r="D302">
        <v>1180.96</v>
      </c>
      <c r="E302">
        <v>1008.25</v>
      </c>
      <c r="F302">
        <v>172.71</v>
      </c>
      <c r="G302" t="s">
        <v>22</v>
      </c>
      <c r="H302">
        <f t="shared" si="4"/>
        <v>14</v>
      </c>
    </row>
    <row r="303" spans="1:8">
      <c r="A303" s="1">
        <v>46132</v>
      </c>
      <c r="B303" t="s">
        <v>20</v>
      </c>
      <c r="C303" t="s">
        <v>26</v>
      </c>
      <c r="D303">
        <v>1102.1099999999999</v>
      </c>
      <c r="E303">
        <v>847.39</v>
      </c>
      <c r="F303">
        <v>254.72</v>
      </c>
      <c r="G303" t="s">
        <v>22</v>
      </c>
      <c r="H303">
        <f t="shared" si="4"/>
        <v>17</v>
      </c>
    </row>
    <row r="304" spans="1:8">
      <c r="A304" s="1">
        <v>46069</v>
      </c>
      <c r="B304" t="s">
        <v>23</v>
      </c>
      <c r="C304" t="s">
        <v>26</v>
      </c>
      <c r="D304">
        <v>2171.41</v>
      </c>
      <c r="E304">
        <v>1582.99</v>
      </c>
      <c r="F304">
        <v>588.41999999999996</v>
      </c>
      <c r="G304" t="s">
        <v>22</v>
      </c>
      <c r="H304">
        <f t="shared" si="4"/>
        <v>8</v>
      </c>
    </row>
    <row r="305" spans="1:8">
      <c r="A305" s="1">
        <v>46030</v>
      </c>
      <c r="B305" t="s">
        <v>23</v>
      </c>
      <c r="C305" t="s">
        <v>31</v>
      </c>
      <c r="D305">
        <v>246.74</v>
      </c>
      <c r="E305">
        <v>2429.84</v>
      </c>
      <c r="F305">
        <v>-2183.1</v>
      </c>
      <c r="G305" t="s">
        <v>22</v>
      </c>
      <c r="H305">
        <f t="shared" si="4"/>
        <v>2</v>
      </c>
    </row>
    <row r="306" spans="1:8">
      <c r="A306" s="1">
        <v>46161</v>
      </c>
      <c r="B306" t="s">
        <v>23</v>
      </c>
      <c r="C306" t="s">
        <v>21</v>
      </c>
      <c r="D306">
        <v>1202.19</v>
      </c>
      <c r="E306">
        <v>565.79</v>
      </c>
      <c r="F306">
        <v>636.4</v>
      </c>
      <c r="G306" t="s">
        <v>22</v>
      </c>
      <c r="H306">
        <f t="shared" si="4"/>
        <v>21</v>
      </c>
    </row>
    <row r="307" spans="1:8">
      <c r="A307" s="1">
        <v>46199</v>
      </c>
      <c r="B307" t="s">
        <v>20</v>
      </c>
      <c r="C307" t="s">
        <v>29</v>
      </c>
      <c r="D307">
        <v>321.37</v>
      </c>
      <c r="E307">
        <v>311.99</v>
      </c>
      <c r="F307">
        <v>9.3800000000000008</v>
      </c>
      <c r="G307" t="s">
        <v>22</v>
      </c>
      <c r="H307">
        <f t="shared" si="4"/>
        <v>26</v>
      </c>
    </row>
    <row r="308" spans="1:8">
      <c r="A308" s="1">
        <v>46062</v>
      </c>
      <c r="B308" t="s">
        <v>20</v>
      </c>
      <c r="C308" t="s">
        <v>21</v>
      </c>
      <c r="D308">
        <v>1125.99</v>
      </c>
      <c r="E308">
        <v>1609.28</v>
      </c>
      <c r="F308">
        <v>-483.29</v>
      </c>
      <c r="G308" t="s">
        <v>22</v>
      </c>
      <c r="H308">
        <f t="shared" si="4"/>
        <v>7</v>
      </c>
    </row>
    <row r="309" spans="1:8">
      <c r="A309" s="1">
        <v>46163</v>
      </c>
      <c r="B309" t="s">
        <v>20</v>
      </c>
      <c r="C309" t="s">
        <v>24</v>
      </c>
      <c r="D309">
        <v>289.33</v>
      </c>
      <c r="E309">
        <v>459.61</v>
      </c>
      <c r="F309">
        <v>-170.28</v>
      </c>
      <c r="G309" t="s">
        <v>22</v>
      </c>
      <c r="H309">
        <f t="shared" si="4"/>
        <v>21</v>
      </c>
    </row>
    <row r="310" spans="1:8">
      <c r="A310" s="1">
        <v>46111</v>
      </c>
      <c r="B310" t="s">
        <v>20</v>
      </c>
      <c r="C310" t="s">
        <v>21</v>
      </c>
      <c r="D310">
        <v>1727.35</v>
      </c>
      <c r="E310">
        <v>1745.15</v>
      </c>
      <c r="F310">
        <v>-17.8</v>
      </c>
      <c r="G310" t="s">
        <v>22</v>
      </c>
      <c r="H310">
        <f t="shared" si="4"/>
        <v>14</v>
      </c>
    </row>
    <row r="311" spans="1:8">
      <c r="A311" s="1">
        <v>46073</v>
      </c>
      <c r="B311" t="s">
        <v>20</v>
      </c>
      <c r="C311" t="s">
        <v>29</v>
      </c>
      <c r="D311">
        <v>697.7</v>
      </c>
      <c r="E311">
        <v>155.26</v>
      </c>
      <c r="F311">
        <v>542.44000000000005</v>
      </c>
      <c r="G311" t="s">
        <v>22</v>
      </c>
      <c r="H311">
        <f t="shared" si="4"/>
        <v>8</v>
      </c>
    </row>
    <row r="312" spans="1:8">
      <c r="A312" s="1">
        <v>46141</v>
      </c>
      <c r="B312" t="s">
        <v>23</v>
      </c>
      <c r="C312" t="s">
        <v>24</v>
      </c>
      <c r="D312">
        <v>781.9</v>
      </c>
      <c r="E312">
        <v>1807.6</v>
      </c>
      <c r="F312">
        <v>-1025.7</v>
      </c>
      <c r="G312" t="s">
        <v>22</v>
      </c>
      <c r="H312">
        <f t="shared" si="4"/>
        <v>18</v>
      </c>
    </row>
    <row r="313" spans="1:8">
      <c r="A313" s="1">
        <v>46051</v>
      </c>
      <c r="B313" t="s">
        <v>23</v>
      </c>
      <c r="C313" t="s">
        <v>30</v>
      </c>
      <c r="D313">
        <v>822.06</v>
      </c>
      <c r="E313">
        <v>793.38</v>
      </c>
      <c r="F313">
        <v>28.68</v>
      </c>
      <c r="G313" t="s">
        <v>22</v>
      </c>
      <c r="H313">
        <f t="shared" si="4"/>
        <v>5</v>
      </c>
    </row>
    <row r="314" spans="1:8">
      <c r="A314" s="1">
        <v>46199</v>
      </c>
      <c r="B314" t="s">
        <v>20</v>
      </c>
      <c r="C314" t="s">
        <v>30</v>
      </c>
      <c r="D314">
        <v>2037.9</v>
      </c>
      <c r="E314">
        <v>2147.34</v>
      </c>
      <c r="F314">
        <v>-109.44</v>
      </c>
      <c r="G314" t="s">
        <v>22</v>
      </c>
      <c r="H314">
        <f t="shared" si="4"/>
        <v>26</v>
      </c>
    </row>
    <row r="315" spans="1:8">
      <c r="A315" s="1">
        <v>46203</v>
      </c>
      <c r="B315" t="s">
        <v>20</v>
      </c>
      <c r="C315" t="s">
        <v>29</v>
      </c>
      <c r="D315">
        <v>1911.69</v>
      </c>
      <c r="E315">
        <v>492.11</v>
      </c>
      <c r="F315">
        <v>1419.58</v>
      </c>
      <c r="G315" t="s">
        <v>22</v>
      </c>
      <c r="H315">
        <f t="shared" si="4"/>
        <v>27</v>
      </c>
    </row>
    <row r="316" spans="1:8">
      <c r="A316" s="1">
        <v>46056</v>
      </c>
      <c r="B316" t="s">
        <v>20</v>
      </c>
      <c r="C316" t="s">
        <v>27</v>
      </c>
      <c r="D316">
        <v>841.88</v>
      </c>
      <c r="E316">
        <v>1953.26</v>
      </c>
      <c r="F316">
        <v>-1111.3800000000001</v>
      </c>
      <c r="G316" t="s">
        <v>22</v>
      </c>
      <c r="H316">
        <f t="shared" si="4"/>
        <v>6</v>
      </c>
    </row>
    <row r="317" spans="1:8">
      <c r="A317" s="1">
        <v>46072</v>
      </c>
      <c r="B317" t="s">
        <v>20</v>
      </c>
      <c r="C317" t="s">
        <v>25</v>
      </c>
      <c r="D317">
        <v>1282.1199999999999</v>
      </c>
      <c r="E317">
        <v>341.08</v>
      </c>
      <c r="F317">
        <v>941.04</v>
      </c>
      <c r="G317" t="s">
        <v>22</v>
      </c>
      <c r="H317">
        <f t="shared" si="4"/>
        <v>8</v>
      </c>
    </row>
    <row r="318" spans="1:8">
      <c r="A318" s="1">
        <v>46155</v>
      </c>
      <c r="B318" t="s">
        <v>23</v>
      </c>
      <c r="C318" t="s">
        <v>32</v>
      </c>
      <c r="D318">
        <v>1585.94</v>
      </c>
      <c r="E318">
        <v>2054.09</v>
      </c>
      <c r="F318">
        <v>-468.15</v>
      </c>
      <c r="G318" t="s">
        <v>22</v>
      </c>
      <c r="H318">
        <f t="shared" si="4"/>
        <v>20</v>
      </c>
    </row>
    <row r="319" spans="1:8">
      <c r="A319" s="1">
        <v>46038</v>
      </c>
      <c r="B319" t="s">
        <v>23</v>
      </c>
      <c r="C319" t="s">
        <v>32</v>
      </c>
      <c r="D319">
        <v>2561.25</v>
      </c>
      <c r="E319">
        <v>2137.04</v>
      </c>
      <c r="F319">
        <v>424.21</v>
      </c>
      <c r="G319" t="s">
        <v>22</v>
      </c>
      <c r="H319">
        <f t="shared" si="4"/>
        <v>3</v>
      </c>
    </row>
    <row r="320" spans="1:8">
      <c r="A320" s="1">
        <v>46072</v>
      </c>
      <c r="B320" t="s">
        <v>20</v>
      </c>
      <c r="C320" t="s">
        <v>27</v>
      </c>
      <c r="D320">
        <v>1095.97</v>
      </c>
      <c r="E320">
        <v>390.81</v>
      </c>
      <c r="F320">
        <v>705.16</v>
      </c>
      <c r="G320" t="s">
        <v>22</v>
      </c>
      <c r="H320">
        <f t="shared" si="4"/>
        <v>8</v>
      </c>
    </row>
    <row r="321" spans="1:8">
      <c r="A321" s="1">
        <v>46070</v>
      </c>
      <c r="B321" t="s">
        <v>23</v>
      </c>
      <c r="C321" t="s">
        <v>27</v>
      </c>
      <c r="D321">
        <v>1187.95</v>
      </c>
      <c r="E321">
        <v>1389.13</v>
      </c>
      <c r="F321">
        <v>-201.18</v>
      </c>
      <c r="G321" t="s">
        <v>22</v>
      </c>
      <c r="H321">
        <f t="shared" si="4"/>
        <v>8</v>
      </c>
    </row>
    <row r="322" spans="1:8">
      <c r="A322" s="1">
        <v>46162</v>
      </c>
      <c r="B322" t="s">
        <v>20</v>
      </c>
      <c r="C322" t="s">
        <v>27</v>
      </c>
      <c r="D322">
        <v>1155.72</v>
      </c>
      <c r="E322">
        <v>494.88</v>
      </c>
      <c r="F322">
        <v>660.84</v>
      </c>
      <c r="G322" t="s">
        <v>22</v>
      </c>
      <c r="H322">
        <f t="shared" ref="H322:H385" si="5">WEEKNUM(A322,2)</f>
        <v>21</v>
      </c>
    </row>
    <row r="323" spans="1:8">
      <c r="A323" s="1">
        <v>46199</v>
      </c>
      <c r="B323" t="s">
        <v>20</v>
      </c>
      <c r="C323" t="s">
        <v>26</v>
      </c>
      <c r="D323">
        <v>1352.2</v>
      </c>
      <c r="E323">
        <v>1714.61</v>
      </c>
      <c r="F323">
        <v>-362.41</v>
      </c>
      <c r="G323" t="s">
        <v>22</v>
      </c>
      <c r="H323">
        <f t="shared" si="5"/>
        <v>26</v>
      </c>
    </row>
    <row r="324" spans="1:8">
      <c r="A324" s="1">
        <v>46023</v>
      </c>
      <c r="B324" t="s">
        <v>23</v>
      </c>
      <c r="C324" t="s">
        <v>30</v>
      </c>
      <c r="D324">
        <v>1507.86</v>
      </c>
      <c r="E324">
        <v>729.06</v>
      </c>
      <c r="F324">
        <v>778.8</v>
      </c>
      <c r="G324" t="s">
        <v>22</v>
      </c>
      <c r="H324">
        <f t="shared" si="5"/>
        <v>1</v>
      </c>
    </row>
    <row r="325" spans="1:8">
      <c r="A325" s="1">
        <v>46028</v>
      </c>
      <c r="B325" t="s">
        <v>23</v>
      </c>
      <c r="C325" t="s">
        <v>31</v>
      </c>
      <c r="D325">
        <v>1600.48</v>
      </c>
      <c r="E325">
        <v>1068.79</v>
      </c>
      <c r="F325">
        <v>531.69000000000005</v>
      </c>
      <c r="G325" t="s">
        <v>22</v>
      </c>
      <c r="H325">
        <f t="shared" si="5"/>
        <v>2</v>
      </c>
    </row>
    <row r="326" spans="1:8">
      <c r="A326" s="1">
        <v>46113</v>
      </c>
      <c r="B326" t="s">
        <v>23</v>
      </c>
      <c r="C326" t="s">
        <v>21</v>
      </c>
      <c r="D326">
        <v>350.74</v>
      </c>
      <c r="E326">
        <v>2208.0500000000002</v>
      </c>
      <c r="F326">
        <v>-1857.31</v>
      </c>
      <c r="G326" t="s">
        <v>22</v>
      </c>
      <c r="H326">
        <f t="shared" si="5"/>
        <v>14</v>
      </c>
    </row>
    <row r="327" spans="1:8">
      <c r="A327" s="1">
        <v>46078</v>
      </c>
      <c r="B327" t="s">
        <v>23</v>
      </c>
      <c r="C327" t="s">
        <v>30</v>
      </c>
      <c r="D327">
        <v>2390.79</v>
      </c>
      <c r="E327">
        <v>543.48</v>
      </c>
      <c r="F327">
        <v>1847.31</v>
      </c>
      <c r="G327" t="s">
        <v>22</v>
      </c>
      <c r="H327">
        <f t="shared" si="5"/>
        <v>9</v>
      </c>
    </row>
    <row r="328" spans="1:8">
      <c r="A328" s="1">
        <v>46108</v>
      </c>
      <c r="B328" t="s">
        <v>23</v>
      </c>
      <c r="C328" t="s">
        <v>27</v>
      </c>
      <c r="D328">
        <v>2005.74</v>
      </c>
      <c r="E328">
        <v>2081.12</v>
      </c>
      <c r="F328">
        <v>-75.38</v>
      </c>
      <c r="G328" t="s">
        <v>22</v>
      </c>
      <c r="H328">
        <f t="shared" si="5"/>
        <v>13</v>
      </c>
    </row>
    <row r="329" spans="1:8">
      <c r="A329" s="1">
        <v>46160</v>
      </c>
      <c r="B329" t="s">
        <v>23</v>
      </c>
      <c r="C329" t="s">
        <v>21</v>
      </c>
      <c r="D329">
        <v>971.88</v>
      </c>
      <c r="E329">
        <v>879.34</v>
      </c>
      <c r="F329">
        <v>92.54</v>
      </c>
      <c r="G329" t="s">
        <v>22</v>
      </c>
      <c r="H329">
        <f t="shared" si="5"/>
        <v>21</v>
      </c>
    </row>
    <row r="330" spans="1:8">
      <c r="A330" s="1">
        <v>46181</v>
      </c>
      <c r="B330" t="s">
        <v>23</v>
      </c>
      <c r="C330" t="s">
        <v>26</v>
      </c>
      <c r="D330">
        <v>350.15</v>
      </c>
      <c r="E330">
        <v>444.2</v>
      </c>
      <c r="F330">
        <v>-94.05</v>
      </c>
      <c r="G330" t="s">
        <v>22</v>
      </c>
      <c r="H330">
        <f t="shared" si="5"/>
        <v>24</v>
      </c>
    </row>
    <row r="331" spans="1:8">
      <c r="A331" s="1">
        <v>46112</v>
      </c>
      <c r="B331" t="s">
        <v>20</v>
      </c>
      <c r="C331" t="s">
        <v>26</v>
      </c>
      <c r="D331">
        <v>941.64</v>
      </c>
      <c r="E331">
        <v>317.29000000000002</v>
      </c>
      <c r="F331">
        <v>624.35</v>
      </c>
      <c r="G331" t="s">
        <v>22</v>
      </c>
      <c r="H331">
        <f t="shared" si="5"/>
        <v>14</v>
      </c>
    </row>
    <row r="332" spans="1:8">
      <c r="A332" s="1">
        <v>46049</v>
      </c>
      <c r="B332" t="s">
        <v>23</v>
      </c>
      <c r="C332" t="s">
        <v>30</v>
      </c>
      <c r="D332">
        <v>1781.24</v>
      </c>
      <c r="E332">
        <v>881.09</v>
      </c>
      <c r="F332">
        <v>900.15</v>
      </c>
      <c r="G332" t="s">
        <v>22</v>
      </c>
      <c r="H332">
        <f t="shared" si="5"/>
        <v>5</v>
      </c>
    </row>
    <row r="333" spans="1:8">
      <c r="A333" s="1">
        <v>46066</v>
      </c>
      <c r="B333" t="s">
        <v>20</v>
      </c>
      <c r="C333" t="s">
        <v>25</v>
      </c>
      <c r="D333">
        <v>729.57</v>
      </c>
      <c r="E333">
        <v>1912.19</v>
      </c>
      <c r="F333">
        <v>-1182.6199999999999</v>
      </c>
      <c r="G333" t="s">
        <v>22</v>
      </c>
      <c r="H333">
        <f t="shared" si="5"/>
        <v>7</v>
      </c>
    </row>
    <row r="334" spans="1:8">
      <c r="A334" s="1">
        <v>46161</v>
      </c>
      <c r="B334" t="s">
        <v>23</v>
      </c>
      <c r="C334" t="s">
        <v>24</v>
      </c>
      <c r="D334">
        <v>550.21</v>
      </c>
      <c r="E334">
        <v>825.86</v>
      </c>
      <c r="F334">
        <v>-275.64999999999998</v>
      </c>
      <c r="G334" t="s">
        <v>22</v>
      </c>
      <c r="H334">
        <f t="shared" si="5"/>
        <v>21</v>
      </c>
    </row>
    <row r="335" spans="1:8">
      <c r="A335" s="1">
        <v>46118</v>
      </c>
      <c r="B335" t="s">
        <v>23</v>
      </c>
      <c r="C335" t="s">
        <v>27</v>
      </c>
      <c r="D335">
        <v>2440.09</v>
      </c>
      <c r="E335">
        <v>1436.92</v>
      </c>
      <c r="F335">
        <v>1003.17</v>
      </c>
      <c r="G335" t="s">
        <v>22</v>
      </c>
      <c r="H335">
        <f t="shared" si="5"/>
        <v>15</v>
      </c>
    </row>
    <row r="336" spans="1:8">
      <c r="A336" s="1">
        <v>46114</v>
      </c>
      <c r="B336" t="s">
        <v>20</v>
      </c>
      <c r="C336" t="s">
        <v>21</v>
      </c>
      <c r="D336">
        <v>643.16</v>
      </c>
      <c r="E336">
        <v>1003.96</v>
      </c>
      <c r="F336">
        <v>-360.8</v>
      </c>
      <c r="G336" t="s">
        <v>22</v>
      </c>
      <c r="H336">
        <f t="shared" si="5"/>
        <v>14</v>
      </c>
    </row>
    <row r="337" spans="1:8">
      <c r="A337" s="1">
        <v>46154</v>
      </c>
      <c r="B337" t="s">
        <v>23</v>
      </c>
      <c r="C337" t="s">
        <v>28</v>
      </c>
      <c r="D337">
        <v>2037.18</v>
      </c>
      <c r="E337">
        <v>277.32</v>
      </c>
      <c r="F337">
        <v>1759.86</v>
      </c>
      <c r="G337" t="s">
        <v>22</v>
      </c>
      <c r="H337">
        <f t="shared" si="5"/>
        <v>20</v>
      </c>
    </row>
    <row r="338" spans="1:8">
      <c r="A338" s="1">
        <v>46182</v>
      </c>
      <c r="B338" t="s">
        <v>20</v>
      </c>
      <c r="C338" t="s">
        <v>27</v>
      </c>
      <c r="D338">
        <v>1918.4</v>
      </c>
      <c r="E338">
        <v>1231.82</v>
      </c>
      <c r="F338">
        <v>686.58</v>
      </c>
      <c r="G338" t="s">
        <v>22</v>
      </c>
      <c r="H338">
        <f t="shared" si="5"/>
        <v>24</v>
      </c>
    </row>
    <row r="339" spans="1:8">
      <c r="A339" s="1">
        <v>46044</v>
      </c>
      <c r="B339" t="s">
        <v>23</v>
      </c>
      <c r="C339" t="s">
        <v>32</v>
      </c>
      <c r="D339">
        <v>952.83</v>
      </c>
      <c r="E339">
        <v>1654.9</v>
      </c>
      <c r="F339">
        <v>-702.07</v>
      </c>
      <c r="G339" t="s">
        <v>22</v>
      </c>
      <c r="H339">
        <f t="shared" si="5"/>
        <v>4</v>
      </c>
    </row>
    <row r="340" spans="1:8">
      <c r="A340" s="1">
        <v>46160</v>
      </c>
      <c r="B340" t="s">
        <v>20</v>
      </c>
      <c r="C340" t="s">
        <v>29</v>
      </c>
      <c r="D340">
        <v>1295.6400000000001</v>
      </c>
      <c r="E340">
        <v>1132.76</v>
      </c>
      <c r="F340">
        <v>162.88</v>
      </c>
      <c r="G340" t="s">
        <v>22</v>
      </c>
      <c r="H340">
        <f t="shared" si="5"/>
        <v>21</v>
      </c>
    </row>
    <row r="341" spans="1:8">
      <c r="A341" s="1">
        <v>46080</v>
      </c>
      <c r="B341" t="s">
        <v>20</v>
      </c>
      <c r="C341" t="s">
        <v>25</v>
      </c>
      <c r="D341">
        <v>1787.66</v>
      </c>
      <c r="E341">
        <v>1394.48</v>
      </c>
      <c r="F341">
        <v>393.18</v>
      </c>
      <c r="G341" t="s">
        <v>22</v>
      </c>
      <c r="H341">
        <f t="shared" si="5"/>
        <v>9</v>
      </c>
    </row>
    <row r="342" spans="1:8">
      <c r="A342" s="1">
        <v>46076</v>
      </c>
      <c r="B342" t="s">
        <v>20</v>
      </c>
      <c r="C342" t="s">
        <v>32</v>
      </c>
      <c r="D342">
        <v>2160.6799999999998</v>
      </c>
      <c r="E342">
        <v>1165.42</v>
      </c>
      <c r="F342">
        <v>995.26</v>
      </c>
      <c r="G342" t="s">
        <v>22</v>
      </c>
      <c r="H342">
        <f t="shared" si="5"/>
        <v>9</v>
      </c>
    </row>
    <row r="343" spans="1:8">
      <c r="A343" s="1">
        <v>46111</v>
      </c>
      <c r="B343" t="s">
        <v>23</v>
      </c>
      <c r="C343" t="s">
        <v>29</v>
      </c>
      <c r="D343">
        <v>584.75</v>
      </c>
      <c r="E343">
        <v>1278.3699999999999</v>
      </c>
      <c r="F343">
        <v>-693.62</v>
      </c>
      <c r="G343" t="s">
        <v>22</v>
      </c>
      <c r="H343">
        <f t="shared" si="5"/>
        <v>14</v>
      </c>
    </row>
    <row r="344" spans="1:8">
      <c r="A344" s="1">
        <v>46188</v>
      </c>
      <c r="B344" t="s">
        <v>20</v>
      </c>
      <c r="C344" t="s">
        <v>24</v>
      </c>
      <c r="D344">
        <v>271.68</v>
      </c>
      <c r="E344">
        <v>869.17</v>
      </c>
      <c r="F344">
        <v>-597.49</v>
      </c>
      <c r="G344" t="s">
        <v>22</v>
      </c>
      <c r="H344">
        <f t="shared" si="5"/>
        <v>25</v>
      </c>
    </row>
    <row r="345" spans="1:8">
      <c r="A345" s="1">
        <v>46090</v>
      </c>
      <c r="B345" t="s">
        <v>20</v>
      </c>
      <c r="C345" t="s">
        <v>31</v>
      </c>
      <c r="D345">
        <v>202.85</v>
      </c>
      <c r="E345">
        <v>180.46</v>
      </c>
      <c r="F345">
        <v>22.39</v>
      </c>
      <c r="G345" t="s">
        <v>22</v>
      </c>
      <c r="H345">
        <f t="shared" si="5"/>
        <v>11</v>
      </c>
    </row>
    <row r="346" spans="1:8">
      <c r="A346" s="1">
        <v>46050</v>
      </c>
      <c r="B346" t="s">
        <v>23</v>
      </c>
      <c r="C346" t="s">
        <v>21</v>
      </c>
      <c r="D346">
        <v>785.56</v>
      </c>
      <c r="E346">
        <v>1774.54</v>
      </c>
      <c r="F346">
        <v>-988.98</v>
      </c>
      <c r="G346" t="s">
        <v>22</v>
      </c>
      <c r="H346">
        <f t="shared" si="5"/>
        <v>5</v>
      </c>
    </row>
    <row r="347" spans="1:8">
      <c r="A347" s="1">
        <v>46029</v>
      </c>
      <c r="B347" t="s">
        <v>20</v>
      </c>
      <c r="C347" t="s">
        <v>26</v>
      </c>
      <c r="D347">
        <v>1234.68</v>
      </c>
      <c r="E347">
        <v>2140.71</v>
      </c>
      <c r="F347">
        <v>-906.03</v>
      </c>
      <c r="G347" t="s">
        <v>22</v>
      </c>
      <c r="H347">
        <f t="shared" si="5"/>
        <v>2</v>
      </c>
    </row>
    <row r="348" spans="1:8">
      <c r="A348" s="1">
        <v>46107</v>
      </c>
      <c r="B348" t="s">
        <v>23</v>
      </c>
      <c r="C348" t="s">
        <v>32</v>
      </c>
      <c r="D348">
        <v>442.74</v>
      </c>
      <c r="E348">
        <v>2050.1</v>
      </c>
      <c r="F348">
        <v>-1607.36</v>
      </c>
      <c r="G348" t="s">
        <v>22</v>
      </c>
      <c r="H348">
        <f t="shared" si="5"/>
        <v>13</v>
      </c>
    </row>
    <row r="349" spans="1:8">
      <c r="A349" s="1">
        <v>46066</v>
      </c>
      <c r="B349" t="s">
        <v>23</v>
      </c>
      <c r="C349" t="s">
        <v>24</v>
      </c>
      <c r="D349">
        <v>1754.32</v>
      </c>
      <c r="E349">
        <v>2380.19</v>
      </c>
      <c r="F349">
        <v>-625.87</v>
      </c>
      <c r="G349" t="s">
        <v>22</v>
      </c>
      <c r="H349">
        <f t="shared" si="5"/>
        <v>7</v>
      </c>
    </row>
    <row r="350" spans="1:8">
      <c r="A350" s="1">
        <v>46064</v>
      </c>
      <c r="B350" t="s">
        <v>23</v>
      </c>
      <c r="C350" t="s">
        <v>29</v>
      </c>
      <c r="D350">
        <v>377.8</v>
      </c>
      <c r="E350">
        <v>1710.67</v>
      </c>
      <c r="F350">
        <v>-1332.87</v>
      </c>
      <c r="G350" t="s">
        <v>22</v>
      </c>
      <c r="H350">
        <f t="shared" si="5"/>
        <v>7</v>
      </c>
    </row>
    <row r="351" spans="1:8">
      <c r="A351" s="1">
        <v>46174</v>
      </c>
      <c r="B351" t="s">
        <v>23</v>
      </c>
      <c r="C351" t="s">
        <v>27</v>
      </c>
      <c r="D351">
        <v>969.6</v>
      </c>
      <c r="E351">
        <v>2473.4699999999998</v>
      </c>
      <c r="F351">
        <v>-1503.87</v>
      </c>
      <c r="G351" t="s">
        <v>22</v>
      </c>
      <c r="H351">
        <f t="shared" si="5"/>
        <v>23</v>
      </c>
    </row>
    <row r="352" spans="1:8">
      <c r="A352" s="1">
        <v>46071</v>
      </c>
      <c r="B352" t="s">
        <v>23</v>
      </c>
      <c r="C352" t="s">
        <v>28</v>
      </c>
      <c r="D352">
        <v>2426.41</v>
      </c>
      <c r="E352">
        <v>1251.48</v>
      </c>
      <c r="F352">
        <v>1174.93</v>
      </c>
      <c r="G352" t="s">
        <v>22</v>
      </c>
      <c r="H352">
        <f t="shared" si="5"/>
        <v>8</v>
      </c>
    </row>
    <row r="353" spans="1:8">
      <c r="A353" s="1">
        <v>46119</v>
      </c>
      <c r="B353" t="s">
        <v>20</v>
      </c>
      <c r="C353" t="s">
        <v>26</v>
      </c>
      <c r="D353">
        <v>1476.15</v>
      </c>
      <c r="E353">
        <v>736.53</v>
      </c>
      <c r="F353">
        <v>739.62</v>
      </c>
      <c r="G353" t="s">
        <v>22</v>
      </c>
      <c r="H353">
        <f t="shared" si="5"/>
        <v>15</v>
      </c>
    </row>
    <row r="354" spans="1:8">
      <c r="A354" s="1">
        <v>46133</v>
      </c>
      <c r="B354" t="s">
        <v>20</v>
      </c>
      <c r="C354" t="s">
        <v>31</v>
      </c>
      <c r="D354">
        <v>1172.46</v>
      </c>
      <c r="E354">
        <v>782.51</v>
      </c>
      <c r="F354">
        <v>389.95</v>
      </c>
      <c r="G354" t="s">
        <v>22</v>
      </c>
      <c r="H354">
        <f t="shared" si="5"/>
        <v>17</v>
      </c>
    </row>
    <row r="355" spans="1:8">
      <c r="A355" s="1">
        <v>46132</v>
      </c>
      <c r="B355" t="s">
        <v>20</v>
      </c>
      <c r="C355" t="s">
        <v>24</v>
      </c>
      <c r="D355">
        <v>444.52</v>
      </c>
      <c r="E355">
        <v>1916.04</v>
      </c>
      <c r="F355">
        <v>-1471.52</v>
      </c>
      <c r="G355" t="s">
        <v>22</v>
      </c>
      <c r="H355">
        <f t="shared" si="5"/>
        <v>17</v>
      </c>
    </row>
    <row r="356" spans="1:8">
      <c r="A356" s="1">
        <v>46135</v>
      </c>
      <c r="B356" t="s">
        <v>23</v>
      </c>
      <c r="C356" t="s">
        <v>32</v>
      </c>
      <c r="D356">
        <v>1143.0899999999999</v>
      </c>
      <c r="E356">
        <v>1679.6</v>
      </c>
      <c r="F356">
        <v>-536.51</v>
      </c>
      <c r="G356" t="s">
        <v>22</v>
      </c>
      <c r="H356">
        <f t="shared" si="5"/>
        <v>17</v>
      </c>
    </row>
    <row r="357" spans="1:8">
      <c r="A357" s="1">
        <v>46192</v>
      </c>
      <c r="B357" t="s">
        <v>20</v>
      </c>
      <c r="C357" t="s">
        <v>29</v>
      </c>
      <c r="D357">
        <v>1026.99</v>
      </c>
      <c r="E357">
        <v>2191.17</v>
      </c>
      <c r="F357">
        <v>-1164.18</v>
      </c>
      <c r="G357" t="s">
        <v>22</v>
      </c>
      <c r="H357">
        <f t="shared" si="5"/>
        <v>25</v>
      </c>
    </row>
    <row r="358" spans="1:8">
      <c r="A358" s="1">
        <v>46198</v>
      </c>
      <c r="B358" t="s">
        <v>23</v>
      </c>
      <c r="C358" t="s">
        <v>31</v>
      </c>
      <c r="D358">
        <v>1415.87</v>
      </c>
      <c r="E358">
        <v>1708.57</v>
      </c>
      <c r="F358">
        <v>-292.7</v>
      </c>
      <c r="G358" t="s">
        <v>22</v>
      </c>
      <c r="H358">
        <f t="shared" si="5"/>
        <v>26</v>
      </c>
    </row>
    <row r="359" spans="1:8">
      <c r="A359" s="1">
        <v>46171</v>
      </c>
      <c r="B359" t="s">
        <v>20</v>
      </c>
      <c r="C359" t="s">
        <v>24</v>
      </c>
      <c r="D359">
        <v>1635.93</v>
      </c>
      <c r="E359">
        <v>1297.05</v>
      </c>
      <c r="F359">
        <v>338.88</v>
      </c>
      <c r="G359" t="s">
        <v>22</v>
      </c>
      <c r="H359">
        <f t="shared" si="5"/>
        <v>22</v>
      </c>
    </row>
    <row r="360" spans="1:8">
      <c r="A360" s="1">
        <v>46163</v>
      </c>
      <c r="B360" t="s">
        <v>20</v>
      </c>
      <c r="C360" t="s">
        <v>21</v>
      </c>
      <c r="D360">
        <v>273.92</v>
      </c>
      <c r="E360">
        <v>1457.34</v>
      </c>
      <c r="F360">
        <v>-1183.42</v>
      </c>
      <c r="G360" t="s">
        <v>22</v>
      </c>
      <c r="H360">
        <f t="shared" si="5"/>
        <v>21</v>
      </c>
    </row>
    <row r="361" spans="1:8">
      <c r="A361" s="1">
        <v>46181</v>
      </c>
      <c r="B361" t="s">
        <v>23</v>
      </c>
      <c r="C361" t="s">
        <v>25</v>
      </c>
      <c r="D361">
        <v>1891.37</v>
      </c>
      <c r="E361">
        <v>693.88</v>
      </c>
      <c r="F361">
        <v>1197.49</v>
      </c>
      <c r="G361" t="s">
        <v>22</v>
      </c>
      <c r="H361">
        <f t="shared" si="5"/>
        <v>24</v>
      </c>
    </row>
    <row r="362" spans="1:8">
      <c r="A362" s="1">
        <v>46091</v>
      </c>
      <c r="B362" t="s">
        <v>23</v>
      </c>
      <c r="C362" t="s">
        <v>29</v>
      </c>
      <c r="D362">
        <v>1114.17</v>
      </c>
      <c r="E362">
        <v>1633.74</v>
      </c>
      <c r="F362">
        <v>-519.57000000000005</v>
      </c>
      <c r="G362" t="s">
        <v>22</v>
      </c>
      <c r="H362">
        <f t="shared" si="5"/>
        <v>11</v>
      </c>
    </row>
    <row r="363" spans="1:8">
      <c r="A363" s="1">
        <v>46169</v>
      </c>
      <c r="B363" t="s">
        <v>20</v>
      </c>
      <c r="C363" t="s">
        <v>30</v>
      </c>
      <c r="D363">
        <v>210.73</v>
      </c>
      <c r="E363">
        <v>710.32</v>
      </c>
      <c r="F363">
        <v>-499.59</v>
      </c>
      <c r="G363" t="s">
        <v>22</v>
      </c>
      <c r="H363">
        <f t="shared" si="5"/>
        <v>22</v>
      </c>
    </row>
    <row r="364" spans="1:8">
      <c r="A364" s="1">
        <v>46171</v>
      </c>
      <c r="B364" t="s">
        <v>20</v>
      </c>
      <c r="C364" t="s">
        <v>32</v>
      </c>
      <c r="D364">
        <v>1218.26</v>
      </c>
      <c r="E364">
        <v>1554.9</v>
      </c>
      <c r="F364">
        <v>-336.64</v>
      </c>
      <c r="G364" t="s">
        <v>22</v>
      </c>
      <c r="H364">
        <f t="shared" si="5"/>
        <v>22</v>
      </c>
    </row>
    <row r="365" spans="1:8">
      <c r="A365" s="1">
        <v>46155</v>
      </c>
      <c r="B365" t="s">
        <v>20</v>
      </c>
      <c r="C365" t="s">
        <v>31</v>
      </c>
      <c r="D365">
        <v>287.95</v>
      </c>
      <c r="E365">
        <v>1367.59</v>
      </c>
      <c r="F365">
        <v>-1079.6400000000001</v>
      </c>
      <c r="G365" t="s">
        <v>22</v>
      </c>
      <c r="H365">
        <f t="shared" si="5"/>
        <v>20</v>
      </c>
    </row>
    <row r="366" spans="1:8">
      <c r="A366" s="1">
        <v>46125</v>
      </c>
      <c r="B366" t="s">
        <v>20</v>
      </c>
      <c r="C366" t="s">
        <v>30</v>
      </c>
      <c r="D366">
        <v>1977.23</v>
      </c>
      <c r="E366">
        <v>1895.29</v>
      </c>
      <c r="F366">
        <v>81.94</v>
      </c>
      <c r="G366" t="s">
        <v>22</v>
      </c>
      <c r="H366">
        <f t="shared" si="5"/>
        <v>16</v>
      </c>
    </row>
    <row r="367" spans="1:8">
      <c r="A367" s="1">
        <v>46160</v>
      </c>
      <c r="B367" t="s">
        <v>20</v>
      </c>
      <c r="C367" t="s">
        <v>24</v>
      </c>
      <c r="D367">
        <v>2111.89</v>
      </c>
      <c r="E367">
        <v>181.43</v>
      </c>
      <c r="F367">
        <v>1930.46</v>
      </c>
      <c r="G367" t="s">
        <v>22</v>
      </c>
      <c r="H367">
        <f t="shared" si="5"/>
        <v>21</v>
      </c>
    </row>
    <row r="368" spans="1:8">
      <c r="A368" s="1">
        <v>46038</v>
      </c>
      <c r="B368" t="s">
        <v>20</v>
      </c>
      <c r="C368" t="s">
        <v>26</v>
      </c>
      <c r="D368">
        <v>693.66</v>
      </c>
      <c r="E368">
        <v>2063.1799999999998</v>
      </c>
      <c r="F368">
        <v>-1369.52</v>
      </c>
      <c r="G368" t="s">
        <v>22</v>
      </c>
      <c r="H368">
        <f t="shared" si="5"/>
        <v>3</v>
      </c>
    </row>
    <row r="369" spans="1:8">
      <c r="A369" s="1">
        <v>46029</v>
      </c>
      <c r="B369" t="s">
        <v>20</v>
      </c>
      <c r="C369" t="s">
        <v>25</v>
      </c>
      <c r="D369">
        <v>1015.43</v>
      </c>
      <c r="E369">
        <v>280.23</v>
      </c>
      <c r="F369">
        <v>735.2</v>
      </c>
      <c r="G369" t="s">
        <v>22</v>
      </c>
      <c r="H369">
        <f t="shared" si="5"/>
        <v>2</v>
      </c>
    </row>
    <row r="370" spans="1:8">
      <c r="A370" s="1">
        <v>46097</v>
      </c>
      <c r="B370" t="s">
        <v>20</v>
      </c>
      <c r="C370" t="s">
        <v>29</v>
      </c>
      <c r="D370">
        <v>591.02</v>
      </c>
      <c r="E370">
        <v>1010.66</v>
      </c>
      <c r="F370">
        <v>-419.64</v>
      </c>
      <c r="G370" t="s">
        <v>22</v>
      </c>
      <c r="H370">
        <f t="shared" si="5"/>
        <v>12</v>
      </c>
    </row>
    <row r="371" spans="1:8">
      <c r="A371" s="1">
        <v>46093</v>
      </c>
      <c r="B371" t="s">
        <v>20</v>
      </c>
      <c r="C371" t="s">
        <v>29</v>
      </c>
      <c r="D371">
        <v>1676.41</v>
      </c>
      <c r="E371">
        <v>913.93</v>
      </c>
      <c r="F371">
        <v>762.48</v>
      </c>
      <c r="G371" t="s">
        <v>22</v>
      </c>
      <c r="H371">
        <f t="shared" si="5"/>
        <v>11</v>
      </c>
    </row>
    <row r="372" spans="1:8">
      <c r="A372" s="1">
        <v>46177</v>
      </c>
      <c r="B372" t="s">
        <v>20</v>
      </c>
      <c r="C372" t="s">
        <v>26</v>
      </c>
      <c r="D372">
        <v>1293.8900000000001</v>
      </c>
      <c r="E372">
        <v>1559.71</v>
      </c>
      <c r="F372">
        <v>-265.82</v>
      </c>
      <c r="G372" t="s">
        <v>22</v>
      </c>
      <c r="H372">
        <f t="shared" si="5"/>
        <v>23</v>
      </c>
    </row>
    <row r="373" spans="1:8">
      <c r="A373" s="1">
        <v>46177</v>
      </c>
      <c r="B373" t="s">
        <v>23</v>
      </c>
      <c r="C373" t="s">
        <v>24</v>
      </c>
      <c r="D373">
        <v>2594.4899999999998</v>
      </c>
      <c r="E373">
        <v>1358.65</v>
      </c>
      <c r="F373">
        <v>1235.8399999999999</v>
      </c>
      <c r="G373" t="s">
        <v>22</v>
      </c>
      <c r="H373">
        <f t="shared" si="5"/>
        <v>23</v>
      </c>
    </row>
    <row r="374" spans="1:8">
      <c r="A374" s="1">
        <v>46038</v>
      </c>
      <c r="B374" t="s">
        <v>23</v>
      </c>
      <c r="C374" t="s">
        <v>26</v>
      </c>
      <c r="D374">
        <v>1469.46</v>
      </c>
      <c r="E374">
        <v>1802.87</v>
      </c>
      <c r="F374">
        <v>-333.41</v>
      </c>
      <c r="G374" t="s">
        <v>22</v>
      </c>
      <c r="H374">
        <f t="shared" si="5"/>
        <v>3</v>
      </c>
    </row>
    <row r="375" spans="1:8">
      <c r="A375" s="1">
        <v>46181</v>
      </c>
      <c r="B375" t="s">
        <v>20</v>
      </c>
      <c r="C375" t="s">
        <v>32</v>
      </c>
      <c r="D375">
        <v>625.29999999999995</v>
      </c>
      <c r="E375">
        <v>980.35</v>
      </c>
      <c r="F375">
        <v>-355.05</v>
      </c>
      <c r="G375" t="s">
        <v>22</v>
      </c>
      <c r="H375">
        <f t="shared" si="5"/>
        <v>24</v>
      </c>
    </row>
    <row r="376" spans="1:8">
      <c r="A376" s="1">
        <v>46153</v>
      </c>
      <c r="B376" t="s">
        <v>23</v>
      </c>
      <c r="C376" t="s">
        <v>25</v>
      </c>
      <c r="D376">
        <v>2045.53</v>
      </c>
      <c r="E376">
        <v>2037.99</v>
      </c>
      <c r="F376">
        <v>7.54</v>
      </c>
      <c r="G376" t="s">
        <v>22</v>
      </c>
      <c r="H376">
        <f t="shared" si="5"/>
        <v>20</v>
      </c>
    </row>
    <row r="377" spans="1:8">
      <c r="A377" s="1">
        <v>46071</v>
      </c>
      <c r="B377" t="s">
        <v>20</v>
      </c>
      <c r="C377" t="s">
        <v>28</v>
      </c>
      <c r="D377">
        <v>1923.07</v>
      </c>
      <c r="E377">
        <v>1841.1</v>
      </c>
      <c r="F377">
        <v>81.97</v>
      </c>
      <c r="G377" t="s">
        <v>22</v>
      </c>
      <c r="H377">
        <f t="shared" si="5"/>
        <v>8</v>
      </c>
    </row>
    <row r="378" spans="1:8">
      <c r="A378" s="1">
        <v>46125</v>
      </c>
      <c r="B378" t="s">
        <v>20</v>
      </c>
      <c r="C378" t="s">
        <v>28</v>
      </c>
      <c r="D378">
        <v>1457.29</v>
      </c>
      <c r="E378">
        <v>1777.08</v>
      </c>
      <c r="F378">
        <v>-319.79000000000002</v>
      </c>
      <c r="G378" t="s">
        <v>22</v>
      </c>
      <c r="H378">
        <f t="shared" si="5"/>
        <v>16</v>
      </c>
    </row>
    <row r="379" spans="1:8">
      <c r="A379" s="1">
        <v>46176</v>
      </c>
      <c r="B379" t="s">
        <v>20</v>
      </c>
      <c r="C379" t="s">
        <v>28</v>
      </c>
      <c r="D379">
        <v>1500.26</v>
      </c>
      <c r="E379">
        <v>1616.23</v>
      </c>
      <c r="F379">
        <v>-115.97</v>
      </c>
      <c r="G379" t="s">
        <v>22</v>
      </c>
      <c r="H379">
        <f t="shared" si="5"/>
        <v>23</v>
      </c>
    </row>
    <row r="380" spans="1:8">
      <c r="A380" s="1">
        <v>46051</v>
      </c>
      <c r="B380" t="s">
        <v>20</v>
      </c>
      <c r="C380" t="s">
        <v>21</v>
      </c>
      <c r="D380">
        <v>1295.8</v>
      </c>
      <c r="E380">
        <v>800.46</v>
      </c>
      <c r="F380">
        <v>495.34</v>
      </c>
      <c r="G380" t="s">
        <v>22</v>
      </c>
      <c r="H380">
        <f t="shared" si="5"/>
        <v>5</v>
      </c>
    </row>
    <row r="381" spans="1:8">
      <c r="A381" s="1">
        <v>46147</v>
      </c>
      <c r="B381" t="s">
        <v>20</v>
      </c>
      <c r="C381" t="s">
        <v>30</v>
      </c>
      <c r="D381">
        <v>545.26</v>
      </c>
      <c r="E381">
        <v>380.93</v>
      </c>
      <c r="F381">
        <v>164.32999999999998</v>
      </c>
      <c r="G381" t="s">
        <v>22</v>
      </c>
      <c r="H381">
        <f t="shared" si="5"/>
        <v>19</v>
      </c>
    </row>
    <row r="382" spans="1:8">
      <c r="A382" s="1">
        <v>46135</v>
      </c>
      <c r="B382" t="s">
        <v>23</v>
      </c>
      <c r="C382" t="s">
        <v>30</v>
      </c>
      <c r="D382">
        <v>1417.56</v>
      </c>
      <c r="E382">
        <v>1423.31</v>
      </c>
      <c r="F382">
        <v>-5.75</v>
      </c>
      <c r="G382" t="s">
        <v>22</v>
      </c>
      <c r="H382">
        <f t="shared" si="5"/>
        <v>17</v>
      </c>
    </row>
    <row r="383" spans="1:8">
      <c r="A383" s="1">
        <v>46142</v>
      </c>
      <c r="B383" t="s">
        <v>20</v>
      </c>
      <c r="C383" t="s">
        <v>31</v>
      </c>
      <c r="D383">
        <v>356.12</v>
      </c>
      <c r="E383">
        <v>1730.07</v>
      </c>
      <c r="F383">
        <v>-1373.95</v>
      </c>
      <c r="G383" t="s">
        <v>22</v>
      </c>
      <c r="H383">
        <f t="shared" si="5"/>
        <v>18</v>
      </c>
    </row>
    <row r="384" spans="1:8">
      <c r="A384" s="1">
        <v>46041</v>
      </c>
      <c r="B384" t="s">
        <v>23</v>
      </c>
      <c r="C384" t="s">
        <v>24</v>
      </c>
      <c r="D384">
        <v>2551.52</v>
      </c>
      <c r="E384">
        <v>587.79999999999995</v>
      </c>
      <c r="F384">
        <v>1963.72</v>
      </c>
      <c r="G384" t="s">
        <v>33</v>
      </c>
      <c r="H384">
        <f t="shared" si="5"/>
        <v>4</v>
      </c>
    </row>
    <row r="385" spans="1:8">
      <c r="A385" s="1">
        <v>46057</v>
      </c>
      <c r="B385" t="s">
        <v>23</v>
      </c>
      <c r="C385" t="s">
        <v>26</v>
      </c>
      <c r="D385">
        <v>1916.04</v>
      </c>
      <c r="E385">
        <v>382.39</v>
      </c>
      <c r="F385">
        <v>1533.65</v>
      </c>
      <c r="G385" t="s">
        <v>22</v>
      </c>
      <c r="H385">
        <f t="shared" si="5"/>
        <v>6</v>
      </c>
    </row>
    <row r="386" spans="1:8">
      <c r="A386" s="1">
        <v>46059</v>
      </c>
      <c r="B386" t="s">
        <v>23</v>
      </c>
      <c r="C386" t="s">
        <v>25</v>
      </c>
      <c r="D386">
        <v>1630.77</v>
      </c>
      <c r="E386">
        <v>2312.2600000000002</v>
      </c>
      <c r="F386">
        <v>-681.49</v>
      </c>
      <c r="G386" t="s">
        <v>22</v>
      </c>
      <c r="H386">
        <f t="shared" ref="H386:H449" si="6">WEEKNUM(A386,2)</f>
        <v>6</v>
      </c>
    </row>
    <row r="387" spans="1:8">
      <c r="A387" s="1">
        <v>46031</v>
      </c>
      <c r="B387" t="s">
        <v>23</v>
      </c>
      <c r="C387" t="s">
        <v>21</v>
      </c>
      <c r="D387">
        <v>948.12</v>
      </c>
      <c r="E387">
        <v>2588.36</v>
      </c>
      <c r="F387">
        <v>-1640.24</v>
      </c>
      <c r="G387" t="s">
        <v>22</v>
      </c>
      <c r="H387">
        <f t="shared" si="6"/>
        <v>2</v>
      </c>
    </row>
    <row r="388" spans="1:8">
      <c r="A388" s="1">
        <v>46153</v>
      </c>
      <c r="B388" t="s">
        <v>20</v>
      </c>
      <c r="C388" t="s">
        <v>29</v>
      </c>
      <c r="D388">
        <v>1259.3900000000001</v>
      </c>
      <c r="E388">
        <v>273.52</v>
      </c>
      <c r="F388">
        <v>985.87</v>
      </c>
      <c r="G388" t="s">
        <v>22</v>
      </c>
      <c r="H388">
        <f t="shared" si="6"/>
        <v>20</v>
      </c>
    </row>
    <row r="389" spans="1:8">
      <c r="A389" s="1">
        <v>46195</v>
      </c>
      <c r="B389" t="s">
        <v>20</v>
      </c>
      <c r="C389" t="s">
        <v>26</v>
      </c>
      <c r="D389">
        <v>166.53</v>
      </c>
      <c r="E389">
        <v>854.33</v>
      </c>
      <c r="F389">
        <v>-687.8</v>
      </c>
      <c r="G389" t="s">
        <v>22</v>
      </c>
      <c r="H389">
        <f t="shared" si="6"/>
        <v>26</v>
      </c>
    </row>
    <row r="390" spans="1:8">
      <c r="A390" s="1">
        <v>46147</v>
      </c>
      <c r="B390" t="s">
        <v>23</v>
      </c>
      <c r="C390" t="s">
        <v>28</v>
      </c>
      <c r="D390">
        <v>2254.75</v>
      </c>
      <c r="E390">
        <v>2352.9</v>
      </c>
      <c r="F390">
        <v>-98.15</v>
      </c>
      <c r="G390" t="s">
        <v>22</v>
      </c>
      <c r="H390">
        <f t="shared" si="6"/>
        <v>19</v>
      </c>
    </row>
    <row r="391" spans="1:8">
      <c r="A391" s="1">
        <v>46066</v>
      </c>
      <c r="B391" t="s">
        <v>20</v>
      </c>
      <c r="C391" t="s">
        <v>27</v>
      </c>
      <c r="D391">
        <v>1359.07</v>
      </c>
      <c r="E391">
        <v>1798.01</v>
      </c>
      <c r="F391">
        <v>-438.94</v>
      </c>
      <c r="G391" t="s">
        <v>22</v>
      </c>
      <c r="H391">
        <f t="shared" si="6"/>
        <v>7</v>
      </c>
    </row>
    <row r="392" spans="1:8">
      <c r="A392" s="1">
        <v>46192</v>
      </c>
      <c r="B392" t="s">
        <v>23</v>
      </c>
      <c r="C392" t="s">
        <v>29</v>
      </c>
      <c r="D392">
        <v>1092.43</v>
      </c>
      <c r="E392">
        <v>2369.12</v>
      </c>
      <c r="F392">
        <v>-1276.69</v>
      </c>
      <c r="G392" t="s">
        <v>22</v>
      </c>
      <c r="H392">
        <f t="shared" si="6"/>
        <v>25</v>
      </c>
    </row>
    <row r="393" spans="1:8">
      <c r="A393" s="1">
        <v>46177</v>
      </c>
      <c r="B393" t="s">
        <v>23</v>
      </c>
      <c r="C393" t="s">
        <v>27</v>
      </c>
      <c r="D393">
        <v>1857.05</v>
      </c>
      <c r="E393">
        <v>561.79</v>
      </c>
      <c r="F393">
        <v>1295.26</v>
      </c>
      <c r="G393" t="s">
        <v>22</v>
      </c>
      <c r="H393">
        <f t="shared" si="6"/>
        <v>23</v>
      </c>
    </row>
    <row r="394" spans="1:8">
      <c r="A394" s="1">
        <v>46041</v>
      </c>
      <c r="B394" t="s">
        <v>20</v>
      </c>
      <c r="C394" t="s">
        <v>32</v>
      </c>
      <c r="D394">
        <v>1973.91</v>
      </c>
      <c r="E394">
        <v>1671.95</v>
      </c>
      <c r="F394">
        <v>301.96000000000004</v>
      </c>
      <c r="G394" t="s">
        <v>22</v>
      </c>
      <c r="H394">
        <f t="shared" si="6"/>
        <v>4</v>
      </c>
    </row>
    <row r="395" spans="1:8">
      <c r="A395" s="1">
        <v>46087</v>
      </c>
      <c r="B395" t="s">
        <v>23</v>
      </c>
      <c r="C395" t="s">
        <v>32</v>
      </c>
      <c r="D395">
        <v>1607.32</v>
      </c>
      <c r="E395">
        <v>2151.33</v>
      </c>
      <c r="F395">
        <v>-544.01</v>
      </c>
      <c r="G395" t="s">
        <v>22</v>
      </c>
      <c r="H395">
        <f t="shared" si="6"/>
        <v>10</v>
      </c>
    </row>
    <row r="396" spans="1:8">
      <c r="A396" s="1">
        <v>46188</v>
      </c>
      <c r="B396" t="s">
        <v>23</v>
      </c>
      <c r="C396" t="s">
        <v>26</v>
      </c>
      <c r="D396">
        <v>2156.4299999999998</v>
      </c>
      <c r="E396">
        <v>525.41</v>
      </c>
      <c r="F396">
        <v>1631.02</v>
      </c>
      <c r="G396" t="s">
        <v>22</v>
      </c>
      <c r="H396">
        <f t="shared" si="6"/>
        <v>25</v>
      </c>
    </row>
    <row r="397" spans="1:8">
      <c r="A397" s="1">
        <v>46119</v>
      </c>
      <c r="B397" t="s">
        <v>23</v>
      </c>
      <c r="C397" t="s">
        <v>27</v>
      </c>
      <c r="D397">
        <v>2122.7600000000002</v>
      </c>
      <c r="E397">
        <v>1945</v>
      </c>
      <c r="F397">
        <v>177.76</v>
      </c>
      <c r="G397" t="s">
        <v>22</v>
      </c>
      <c r="H397">
        <f t="shared" si="6"/>
        <v>15</v>
      </c>
    </row>
    <row r="398" spans="1:8">
      <c r="A398" s="1">
        <v>46121</v>
      </c>
      <c r="B398" t="s">
        <v>20</v>
      </c>
      <c r="C398" t="s">
        <v>25</v>
      </c>
      <c r="D398">
        <v>633.79</v>
      </c>
      <c r="E398">
        <v>1472.58</v>
      </c>
      <c r="F398">
        <v>-838.79</v>
      </c>
      <c r="G398" t="s">
        <v>22</v>
      </c>
      <c r="H398">
        <f t="shared" si="6"/>
        <v>15</v>
      </c>
    </row>
    <row r="399" spans="1:8">
      <c r="A399" s="1">
        <v>46028</v>
      </c>
      <c r="B399" t="s">
        <v>20</v>
      </c>
      <c r="C399" t="s">
        <v>24</v>
      </c>
      <c r="D399">
        <v>1312.72</v>
      </c>
      <c r="E399">
        <v>1621.72</v>
      </c>
      <c r="F399">
        <v>-309</v>
      </c>
      <c r="G399" t="s">
        <v>22</v>
      </c>
      <c r="H399">
        <f t="shared" si="6"/>
        <v>2</v>
      </c>
    </row>
    <row r="400" spans="1:8">
      <c r="A400" s="1">
        <v>46099</v>
      </c>
      <c r="B400" t="s">
        <v>23</v>
      </c>
      <c r="C400" t="s">
        <v>31</v>
      </c>
      <c r="D400">
        <v>1902.8</v>
      </c>
      <c r="E400">
        <v>1202.47</v>
      </c>
      <c r="F400">
        <v>700.33</v>
      </c>
      <c r="G400" t="s">
        <v>22</v>
      </c>
      <c r="H400">
        <f t="shared" si="6"/>
        <v>12</v>
      </c>
    </row>
    <row r="401" spans="1:8">
      <c r="A401" s="1">
        <v>46031</v>
      </c>
      <c r="B401" t="s">
        <v>23</v>
      </c>
      <c r="C401" t="s">
        <v>30</v>
      </c>
      <c r="D401">
        <v>1759.71</v>
      </c>
      <c r="E401">
        <v>1251.44</v>
      </c>
      <c r="F401">
        <v>508.27</v>
      </c>
      <c r="G401" t="s">
        <v>22</v>
      </c>
      <c r="H401">
        <f t="shared" si="6"/>
        <v>2</v>
      </c>
    </row>
    <row r="402" spans="1:8">
      <c r="A402" s="1">
        <v>46183</v>
      </c>
      <c r="B402" t="s">
        <v>20</v>
      </c>
      <c r="C402" t="s">
        <v>32</v>
      </c>
      <c r="D402">
        <v>1372.67</v>
      </c>
      <c r="E402">
        <v>1328.35</v>
      </c>
      <c r="F402">
        <v>44.32</v>
      </c>
      <c r="G402" t="s">
        <v>22</v>
      </c>
      <c r="H402">
        <f t="shared" si="6"/>
        <v>24</v>
      </c>
    </row>
    <row r="403" spans="1:8">
      <c r="A403" s="1">
        <v>46098</v>
      </c>
      <c r="B403" t="s">
        <v>20</v>
      </c>
      <c r="C403" t="s">
        <v>30</v>
      </c>
      <c r="D403">
        <v>730.66</v>
      </c>
      <c r="E403">
        <v>1540.9</v>
      </c>
      <c r="F403">
        <v>-810.24</v>
      </c>
      <c r="G403" t="s">
        <v>33</v>
      </c>
      <c r="H403">
        <f t="shared" si="6"/>
        <v>12</v>
      </c>
    </row>
    <row r="404" spans="1:8">
      <c r="A404" s="1">
        <v>46065</v>
      </c>
      <c r="B404" t="s">
        <v>23</v>
      </c>
      <c r="C404" t="s">
        <v>21</v>
      </c>
      <c r="D404">
        <v>576.94000000000005</v>
      </c>
      <c r="E404">
        <v>617.15</v>
      </c>
      <c r="F404">
        <v>-40.21</v>
      </c>
      <c r="G404" t="s">
        <v>22</v>
      </c>
      <c r="H404">
        <f t="shared" si="6"/>
        <v>7</v>
      </c>
    </row>
    <row r="405" spans="1:8">
      <c r="A405" s="1">
        <v>46055</v>
      </c>
      <c r="B405" t="s">
        <v>23</v>
      </c>
      <c r="C405" t="s">
        <v>21</v>
      </c>
      <c r="D405">
        <v>1693.42</v>
      </c>
      <c r="E405">
        <v>264.72000000000003</v>
      </c>
      <c r="F405">
        <v>1428.7</v>
      </c>
      <c r="G405" t="s">
        <v>22</v>
      </c>
      <c r="H405">
        <f t="shared" si="6"/>
        <v>6</v>
      </c>
    </row>
    <row r="406" spans="1:8">
      <c r="A406" s="1">
        <v>46091</v>
      </c>
      <c r="B406" t="s">
        <v>23</v>
      </c>
      <c r="C406" t="s">
        <v>32</v>
      </c>
      <c r="D406">
        <v>1604.88</v>
      </c>
      <c r="E406">
        <v>1909.17</v>
      </c>
      <c r="F406">
        <v>-304.29000000000002</v>
      </c>
      <c r="G406" t="s">
        <v>22</v>
      </c>
      <c r="H406">
        <f t="shared" si="6"/>
        <v>11</v>
      </c>
    </row>
    <row r="407" spans="1:8">
      <c r="A407" s="1">
        <v>46104</v>
      </c>
      <c r="B407" t="s">
        <v>23</v>
      </c>
      <c r="C407" t="s">
        <v>28</v>
      </c>
      <c r="D407">
        <v>971.66</v>
      </c>
      <c r="E407">
        <v>1341.51</v>
      </c>
      <c r="F407">
        <v>-369.85</v>
      </c>
      <c r="G407" t="s">
        <v>22</v>
      </c>
      <c r="H407">
        <f t="shared" si="6"/>
        <v>13</v>
      </c>
    </row>
    <row r="408" spans="1:8">
      <c r="A408" s="1">
        <v>46141</v>
      </c>
      <c r="B408" t="s">
        <v>23</v>
      </c>
      <c r="C408" t="s">
        <v>30</v>
      </c>
      <c r="D408">
        <v>1677.62</v>
      </c>
      <c r="E408">
        <v>1608.39</v>
      </c>
      <c r="F408">
        <v>69.23</v>
      </c>
      <c r="G408" t="s">
        <v>22</v>
      </c>
      <c r="H408">
        <f t="shared" si="6"/>
        <v>18</v>
      </c>
    </row>
    <row r="409" spans="1:8">
      <c r="A409" s="1">
        <v>46052</v>
      </c>
      <c r="B409" t="s">
        <v>20</v>
      </c>
      <c r="C409" t="s">
        <v>30</v>
      </c>
      <c r="D409">
        <v>1598.16</v>
      </c>
      <c r="E409">
        <v>281.67</v>
      </c>
      <c r="F409">
        <v>1316.49</v>
      </c>
      <c r="G409" t="s">
        <v>22</v>
      </c>
      <c r="H409">
        <f t="shared" si="6"/>
        <v>5</v>
      </c>
    </row>
    <row r="410" spans="1:8">
      <c r="A410" s="1">
        <v>46113</v>
      </c>
      <c r="B410" t="s">
        <v>20</v>
      </c>
      <c r="C410" t="s">
        <v>31</v>
      </c>
      <c r="D410">
        <v>592.09</v>
      </c>
      <c r="E410">
        <v>456.52</v>
      </c>
      <c r="F410">
        <v>135.57</v>
      </c>
      <c r="G410" t="s">
        <v>22</v>
      </c>
      <c r="H410">
        <f t="shared" si="6"/>
        <v>14</v>
      </c>
    </row>
    <row r="411" spans="1:8">
      <c r="A411" s="1">
        <v>46197</v>
      </c>
      <c r="B411" t="s">
        <v>23</v>
      </c>
      <c r="C411" t="s">
        <v>21</v>
      </c>
      <c r="D411">
        <v>1140.2</v>
      </c>
      <c r="E411">
        <v>1750.81</v>
      </c>
      <c r="F411">
        <v>-610.61</v>
      </c>
      <c r="G411" t="s">
        <v>22</v>
      </c>
      <c r="H411">
        <f t="shared" si="6"/>
        <v>26</v>
      </c>
    </row>
    <row r="412" spans="1:8">
      <c r="A412" s="1">
        <v>46178</v>
      </c>
      <c r="B412" t="s">
        <v>23</v>
      </c>
      <c r="C412" t="s">
        <v>27</v>
      </c>
      <c r="D412">
        <v>2144.4499999999998</v>
      </c>
      <c r="E412">
        <v>476.2</v>
      </c>
      <c r="F412">
        <v>1668.25</v>
      </c>
      <c r="G412" t="s">
        <v>22</v>
      </c>
      <c r="H412">
        <f t="shared" si="6"/>
        <v>23</v>
      </c>
    </row>
    <row r="413" spans="1:8">
      <c r="A413" s="1">
        <v>46111</v>
      </c>
      <c r="B413" t="s">
        <v>20</v>
      </c>
      <c r="C413" t="s">
        <v>26</v>
      </c>
      <c r="D413">
        <v>482.22</v>
      </c>
      <c r="E413">
        <v>559.38</v>
      </c>
      <c r="F413">
        <v>-77.16</v>
      </c>
      <c r="G413" t="s">
        <v>22</v>
      </c>
      <c r="H413">
        <f t="shared" si="6"/>
        <v>14</v>
      </c>
    </row>
    <row r="414" spans="1:8">
      <c r="A414" s="1">
        <v>46070</v>
      </c>
      <c r="B414" t="s">
        <v>20</v>
      </c>
      <c r="C414" t="s">
        <v>30</v>
      </c>
      <c r="D414">
        <v>1349.93</v>
      </c>
      <c r="E414">
        <v>1451.31</v>
      </c>
      <c r="F414">
        <v>-101.38</v>
      </c>
      <c r="G414" t="s">
        <v>22</v>
      </c>
      <c r="H414">
        <f t="shared" si="6"/>
        <v>8</v>
      </c>
    </row>
    <row r="415" spans="1:8">
      <c r="A415" s="1">
        <v>46164</v>
      </c>
      <c r="B415" t="s">
        <v>20</v>
      </c>
      <c r="C415" t="s">
        <v>28</v>
      </c>
      <c r="D415">
        <v>914.76</v>
      </c>
      <c r="E415">
        <v>982.36</v>
      </c>
      <c r="F415">
        <v>-67.599999999999994</v>
      </c>
      <c r="G415" t="s">
        <v>22</v>
      </c>
      <c r="H415">
        <f t="shared" si="6"/>
        <v>21</v>
      </c>
    </row>
    <row r="416" spans="1:8">
      <c r="A416" s="1">
        <v>46182</v>
      </c>
      <c r="B416" t="s">
        <v>20</v>
      </c>
      <c r="C416" t="s">
        <v>32</v>
      </c>
      <c r="D416">
        <v>1087.98</v>
      </c>
      <c r="E416">
        <v>687.82</v>
      </c>
      <c r="F416">
        <v>400.16</v>
      </c>
      <c r="G416" t="s">
        <v>22</v>
      </c>
      <c r="H416">
        <f t="shared" si="6"/>
        <v>24</v>
      </c>
    </row>
    <row r="417" spans="1:8">
      <c r="A417" s="1">
        <v>46129</v>
      </c>
      <c r="B417" t="s">
        <v>20</v>
      </c>
      <c r="C417" t="s">
        <v>27</v>
      </c>
      <c r="D417">
        <v>243.2</v>
      </c>
      <c r="E417">
        <v>1464.98</v>
      </c>
      <c r="F417">
        <v>-1221.78</v>
      </c>
      <c r="G417" t="s">
        <v>22</v>
      </c>
      <c r="H417">
        <f t="shared" si="6"/>
        <v>16</v>
      </c>
    </row>
    <row r="418" spans="1:8">
      <c r="A418" s="1">
        <v>46045</v>
      </c>
      <c r="B418" t="s">
        <v>20</v>
      </c>
      <c r="C418" t="s">
        <v>32</v>
      </c>
      <c r="D418">
        <v>1660.93</v>
      </c>
      <c r="E418">
        <v>553.91999999999996</v>
      </c>
      <c r="F418">
        <v>1107.01</v>
      </c>
      <c r="G418" t="s">
        <v>22</v>
      </c>
      <c r="H418">
        <f t="shared" si="6"/>
        <v>4</v>
      </c>
    </row>
    <row r="419" spans="1:8">
      <c r="A419" s="1">
        <v>46135</v>
      </c>
      <c r="B419" t="s">
        <v>20</v>
      </c>
      <c r="C419" t="s">
        <v>29</v>
      </c>
      <c r="D419">
        <v>1214.6300000000001</v>
      </c>
      <c r="E419">
        <v>455.33</v>
      </c>
      <c r="F419">
        <v>759.3</v>
      </c>
      <c r="G419" t="s">
        <v>22</v>
      </c>
      <c r="H419">
        <f t="shared" si="6"/>
        <v>17</v>
      </c>
    </row>
    <row r="420" spans="1:8">
      <c r="A420" s="1">
        <v>46150</v>
      </c>
      <c r="B420" t="s">
        <v>20</v>
      </c>
      <c r="C420" t="s">
        <v>31</v>
      </c>
      <c r="D420">
        <v>487.3</v>
      </c>
      <c r="E420">
        <v>1901.7</v>
      </c>
      <c r="F420">
        <v>-1414.4</v>
      </c>
      <c r="G420" t="s">
        <v>22</v>
      </c>
      <c r="H420">
        <f t="shared" si="6"/>
        <v>19</v>
      </c>
    </row>
    <row r="421" spans="1:8">
      <c r="A421" s="1">
        <v>46182</v>
      </c>
      <c r="B421" t="s">
        <v>23</v>
      </c>
      <c r="C421" t="s">
        <v>32</v>
      </c>
      <c r="D421">
        <v>1813.06</v>
      </c>
      <c r="E421">
        <v>951.65</v>
      </c>
      <c r="F421">
        <v>861.41</v>
      </c>
      <c r="G421" t="s">
        <v>22</v>
      </c>
      <c r="H421">
        <f t="shared" si="6"/>
        <v>24</v>
      </c>
    </row>
    <row r="422" spans="1:8">
      <c r="A422" s="1">
        <v>46198</v>
      </c>
      <c r="B422" t="s">
        <v>23</v>
      </c>
      <c r="C422" t="s">
        <v>30</v>
      </c>
      <c r="D422">
        <v>1402.52</v>
      </c>
      <c r="E422">
        <v>1197.04</v>
      </c>
      <c r="F422">
        <v>205.48</v>
      </c>
      <c r="G422" t="s">
        <v>22</v>
      </c>
      <c r="H422">
        <f t="shared" si="6"/>
        <v>26</v>
      </c>
    </row>
    <row r="423" spans="1:8">
      <c r="A423" s="1">
        <v>46097</v>
      </c>
      <c r="B423" t="s">
        <v>20</v>
      </c>
      <c r="C423" t="s">
        <v>24</v>
      </c>
      <c r="D423">
        <v>212.85</v>
      </c>
      <c r="E423">
        <v>1679.53</v>
      </c>
      <c r="F423">
        <v>-1466.68</v>
      </c>
      <c r="G423" t="s">
        <v>22</v>
      </c>
      <c r="H423">
        <f t="shared" si="6"/>
        <v>12</v>
      </c>
    </row>
    <row r="424" spans="1:8">
      <c r="A424" s="1">
        <v>46135</v>
      </c>
      <c r="B424" t="s">
        <v>20</v>
      </c>
      <c r="C424" t="s">
        <v>32</v>
      </c>
      <c r="D424">
        <v>1612.86</v>
      </c>
      <c r="E424">
        <v>1798.13</v>
      </c>
      <c r="F424">
        <v>-185.27000000000021</v>
      </c>
      <c r="G424" t="s">
        <v>22</v>
      </c>
      <c r="H424">
        <f t="shared" si="6"/>
        <v>17</v>
      </c>
    </row>
    <row r="425" spans="1:8">
      <c r="A425" s="1">
        <v>46119</v>
      </c>
      <c r="B425" t="s">
        <v>20</v>
      </c>
      <c r="C425" t="s">
        <v>28</v>
      </c>
      <c r="D425">
        <v>1917.38</v>
      </c>
      <c r="E425">
        <v>248</v>
      </c>
      <c r="F425">
        <v>1669.38</v>
      </c>
      <c r="G425" t="s">
        <v>22</v>
      </c>
      <c r="H425">
        <f t="shared" si="6"/>
        <v>15</v>
      </c>
    </row>
    <row r="426" spans="1:8">
      <c r="A426" s="1">
        <v>46101</v>
      </c>
      <c r="B426" t="s">
        <v>20</v>
      </c>
      <c r="C426" t="s">
        <v>32</v>
      </c>
      <c r="D426">
        <v>304.47000000000003</v>
      </c>
      <c r="E426">
        <v>2100.15</v>
      </c>
      <c r="F426">
        <v>-1795.68</v>
      </c>
      <c r="G426" t="s">
        <v>22</v>
      </c>
      <c r="H426">
        <f t="shared" si="6"/>
        <v>12</v>
      </c>
    </row>
    <row r="427" spans="1:8">
      <c r="A427" s="1">
        <v>46133</v>
      </c>
      <c r="B427" t="s">
        <v>20</v>
      </c>
      <c r="C427" t="s">
        <v>32</v>
      </c>
      <c r="D427">
        <v>1171.44</v>
      </c>
      <c r="E427">
        <v>1205.19</v>
      </c>
      <c r="F427">
        <v>-33.75</v>
      </c>
      <c r="G427" t="s">
        <v>22</v>
      </c>
      <c r="H427">
        <f t="shared" si="6"/>
        <v>17</v>
      </c>
    </row>
    <row r="428" spans="1:8">
      <c r="A428" s="1">
        <v>46037</v>
      </c>
      <c r="B428" t="s">
        <v>23</v>
      </c>
      <c r="C428" t="s">
        <v>29</v>
      </c>
      <c r="D428">
        <v>690.22</v>
      </c>
      <c r="E428">
        <v>1918.86</v>
      </c>
      <c r="F428">
        <v>-1228.6400000000001</v>
      </c>
      <c r="G428" t="s">
        <v>22</v>
      </c>
      <c r="H428">
        <f t="shared" si="6"/>
        <v>3</v>
      </c>
    </row>
    <row r="429" spans="1:8">
      <c r="A429" s="1">
        <v>46072</v>
      </c>
      <c r="B429" t="s">
        <v>20</v>
      </c>
      <c r="C429" t="s">
        <v>21</v>
      </c>
      <c r="D429">
        <v>2184.13</v>
      </c>
      <c r="E429">
        <v>2021.51</v>
      </c>
      <c r="F429">
        <v>162.62</v>
      </c>
      <c r="G429" t="s">
        <v>22</v>
      </c>
      <c r="H429">
        <f t="shared" si="6"/>
        <v>8</v>
      </c>
    </row>
    <row r="430" spans="1:8">
      <c r="A430" s="1">
        <v>46091</v>
      </c>
      <c r="B430" t="s">
        <v>20</v>
      </c>
      <c r="C430" t="s">
        <v>30</v>
      </c>
      <c r="D430">
        <v>2197.1</v>
      </c>
      <c r="E430">
        <v>1886.96</v>
      </c>
      <c r="F430">
        <v>310.14</v>
      </c>
      <c r="G430" t="s">
        <v>22</v>
      </c>
      <c r="H430">
        <f t="shared" si="6"/>
        <v>11</v>
      </c>
    </row>
    <row r="431" spans="1:8">
      <c r="A431" s="1">
        <v>46079</v>
      </c>
      <c r="B431" t="s">
        <v>23</v>
      </c>
      <c r="C431" t="s">
        <v>26</v>
      </c>
      <c r="D431">
        <v>908.55</v>
      </c>
      <c r="E431">
        <v>2547.0700000000002</v>
      </c>
      <c r="F431">
        <v>-1638.52</v>
      </c>
      <c r="G431" t="s">
        <v>22</v>
      </c>
      <c r="H431">
        <f t="shared" si="6"/>
        <v>9</v>
      </c>
    </row>
    <row r="432" spans="1:8">
      <c r="A432" s="1">
        <v>46107</v>
      </c>
      <c r="B432" t="s">
        <v>23</v>
      </c>
      <c r="C432" t="s">
        <v>21</v>
      </c>
      <c r="D432">
        <v>385.2</v>
      </c>
      <c r="E432">
        <v>2226.63</v>
      </c>
      <c r="F432">
        <v>-1841.43</v>
      </c>
      <c r="G432" t="s">
        <v>22</v>
      </c>
      <c r="H432">
        <f t="shared" si="6"/>
        <v>13</v>
      </c>
    </row>
    <row r="433" spans="1:8">
      <c r="A433" s="1">
        <v>46034</v>
      </c>
      <c r="B433" t="s">
        <v>23</v>
      </c>
      <c r="C433" t="s">
        <v>32</v>
      </c>
      <c r="D433">
        <v>1176.94</v>
      </c>
      <c r="E433">
        <v>426.38</v>
      </c>
      <c r="F433">
        <v>750.56</v>
      </c>
      <c r="G433" t="s">
        <v>22</v>
      </c>
      <c r="H433">
        <f t="shared" si="6"/>
        <v>3</v>
      </c>
    </row>
    <row r="434" spans="1:8">
      <c r="A434" s="1">
        <v>46031</v>
      </c>
      <c r="B434" t="s">
        <v>20</v>
      </c>
      <c r="C434" t="s">
        <v>26</v>
      </c>
      <c r="D434">
        <v>1124.33</v>
      </c>
      <c r="E434">
        <v>1277.0999999999999</v>
      </c>
      <c r="F434">
        <v>-152.76999999999998</v>
      </c>
      <c r="G434" t="s">
        <v>22</v>
      </c>
      <c r="H434">
        <f t="shared" si="6"/>
        <v>2</v>
      </c>
    </row>
    <row r="435" spans="1:8">
      <c r="A435" s="1">
        <v>46149</v>
      </c>
      <c r="B435" t="s">
        <v>20</v>
      </c>
      <c r="C435" t="s">
        <v>29</v>
      </c>
      <c r="D435">
        <v>1702.57</v>
      </c>
      <c r="E435">
        <v>1794.09</v>
      </c>
      <c r="F435">
        <v>-91.52</v>
      </c>
      <c r="G435" t="s">
        <v>22</v>
      </c>
      <c r="H435">
        <f t="shared" si="6"/>
        <v>19</v>
      </c>
    </row>
    <row r="436" spans="1:8">
      <c r="A436" s="1">
        <v>46024</v>
      </c>
      <c r="B436" t="s">
        <v>20</v>
      </c>
      <c r="C436" t="s">
        <v>28</v>
      </c>
      <c r="D436">
        <v>1016.36</v>
      </c>
      <c r="E436">
        <v>719.64</v>
      </c>
      <c r="F436">
        <v>296.72000000000003</v>
      </c>
      <c r="G436" t="s">
        <v>22</v>
      </c>
      <c r="H436">
        <f t="shared" si="6"/>
        <v>1</v>
      </c>
    </row>
    <row r="437" spans="1:8">
      <c r="A437" s="1">
        <v>46023</v>
      </c>
      <c r="B437" t="s">
        <v>20</v>
      </c>
      <c r="C437" t="s">
        <v>28</v>
      </c>
      <c r="D437">
        <v>1537.23</v>
      </c>
      <c r="E437">
        <v>1978.97</v>
      </c>
      <c r="F437">
        <v>-441.74</v>
      </c>
      <c r="G437" t="s">
        <v>22</v>
      </c>
      <c r="H437">
        <f t="shared" si="6"/>
        <v>1</v>
      </c>
    </row>
    <row r="438" spans="1:8">
      <c r="A438" s="1">
        <v>46147</v>
      </c>
      <c r="B438" t="s">
        <v>23</v>
      </c>
      <c r="C438" t="s">
        <v>21</v>
      </c>
      <c r="D438">
        <v>2184.7800000000002</v>
      </c>
      <c r="E438">
        <v>1436.67</v>
      </c>
      <c r="F438">
        <v>748.11</v>
      </c>
      <c r="G438" t="s">
        <v>22</v>
      </c>
      <c r="H438">
        <f t="shared" si="6"/>
        <v>19</v>
      </c>
    </row>
    <row r="439" spans="1:8">
      <c r="A439" s="1">
        <v>46057</v>
      </c>
      <c r="B439" t="s">
        <v>20</v>
      </c>
      <c r="C439" t="s">
        <v>21</v>
      </c>
      <c r="D439">
        <v>639.02</v>
      </c>
      <c r="E439">
        <v>1120.8</v>
      </c>
      <c r="F439">
        <v>-481.78</v>
      </c>
      <c r="G439" t="s">
        <v>22</v>
      </c>
      <c r="H439">
        <f t="shared" si="6"/>
        <v>6</v>
      </c>
    </row>
    <row r="440" spans="1:8">
      <c r="A440" s="1">
        <v>46156</v>
      </c>
      <c r="B440" t="s">
        <v>20</v>
      </c>
      <c r="C440" t="s">
        <v>30</v>
      </c>
      <c r="D440">
        <v>766.03</v>
      </c>
      <c r="E440">
        <v>274.95999999999998</v>
      </c>
      <c r="F440">
        <v>491.07</v>
      </c>
      <c r="G440" t="s">
        <v>22</v>
      </c>
      <c r="H440">
        <f t="shared" si="6"/>
        <v>20</v>
      </c>
    </row>
    <row r="441" spans="1:8">
      <c r="A441" s="1">
        <v>46043</v>
      </c>
      <c r="B441" t="s">
        <v>23</v>
      </c>
      <c r="C441" t="s">
        <v>32</v>
      </c>
      <c r="D441">
        <v>1329.66</v>
      </c>
      <c r="E441">
        <v>678.97</v>
      </c>
      <c r="F441">
        <v>650.69000000000005</v>
      </c>
      <c r="G441" t="s">
        <v>22</v>
      </c>
      <c r="H441">
        <f t="shared" si="6"/>
        <v>4</v>
      </c>
    </row>
    <row r="442" spans="1:8">
      <c r="A442" s="1">
        <v>46118</v>
      </c>
      <c r="B442" t="s">
        <v>20</v>
      </c>
      <c r="C442" t="s">
        <v>31</v>
      </c>
      <c r="D442">
        <v>240.89</v>
      </c>
      <c r="E442">
        <v>1269.33</v>
      </c>
      <c r="F442">
        <v>-1028.44</v>
      </c>
      <c r="G442" t="s">
        <v>22</v>
      </c>
      <c r="H442">
        <f t="shared" si="6"/>
        <v>15</v>
      </c>
    </row>
    <row r="443" spans="1:8">
      <c r="A443" s="1">
        <v>46122</v>
      </c>
      <c r="B443" t="s">
        <v>23</v>
      </c>
      <c r="C443" t="s">
        <v>21</v>
      </c>
      <c r="D443">
        <v>377.72</v>
      </c>
      <c r="E443">
        <v>614.38</v>
      </c>
      <c r="F443">
        <v>-236.66</v>
      </c>
      <c r="G443" t="s">
        <v>22</v>
      </c>
      <c r="H443">
        <f t="shared" si="6"/>
        <v>15</v>
      </c>
    </row>
    <row r="444" spans="1:8">
      <c r="A444" s="1">
        <v>46164</v>
      </c>
      <c r="B444" t="s">
        <v>23</v>
      </c>
      <c r="C444" t="s">
        <v>27</v>
      </c>
      <c r="D444">
        <v>1105.21</v>
      </c>
      <c r="E444">
        <v>1342.41</v>
      </c>
      <c r="F444">
        <v>-237.2</v>
      </c>
      <c r="G444" t="s">
        <v>22</v>
      </c>
      <c r="H444">
        <f t="shared" si="6"/>
        <v>21</v>
      </c>
    </row>
    <row r="445" spans="1:8">
      <c r="A445" s="1">
        <v>46176</v>
      </c>
      <c r="B445" t="s">
        <v>23</v>
      </c>
      <c r="C445" t="s">
        <v>30</v>
      </c>
      <c r="D445">
        <v>288.24</v>
      </c>
      <c r="E445">
        <v>2524.23</v>
      </c>
      <c r="F445">
        <v>-2235.9899999999998</v>
      </c>
      <c r="G445" t="s">
        <v>22</v>
      </c>
      <c r="H445">
        <f t="shared" si="6"/>
        <v>23</v>
      </c>
    </row>
    <row r="446" spans="1:8">
      <c r="A446" s="1">
        <v>46064</v>
      </c>
      <c r="B446" t="s">
        <v>20</v>
      </c>
      <c r="C446" t="s">
        <v>25</v>
      </c>
      <c r="D446">
        <v>255.32</v>
      </c>
      <c r="E446">
        <v>2079.1799999999998</v>
      </c>
      <c r="F446">
        <v>-1823.86</v>
      </c>
      <c r="G446" t="s">
        <v>22</v>
      </c>
      <c r="H446">
        <f t="shared" si="6"/>
        <v>7</v>
      </c>
    </row>
    <row r="447" spans="1:8">
      <c r="A447" s="1">
        <v>46093</v>
      </c>
      <c r="B447" t="s">
        <v>23</v>
      </c>
      <c r="C447" t="s">
        <v>27</v>
      </c>
      <c r="D447">
        <v>2524.16</v>
      </c>
      <c r="E447">
        <v>1640.98</v>
      </c>
      <c r="F447">
        <v>883.18</v>
      </c>
      <c r="G447" t="s">
        <v>22</v>
      </c>
      <c r="H447">
        <f t="shared" si="6"/>
        <v>11</v>
      </c>
    </row>
    <row r="448" spans="1:8">
      <c r="A448" s="1">
        <v>46191</v>
      </c>
      <c r="B448" t="s">
        <v>20</v>
      </c>
      <c r="C448" t="s">
        <v>27</v>
      </c>
      <c r="D448">
        <v>2134.66</v>
      </c>
      <c r="E448">
        <v>1840.94</v>
      </c>
      <c r="F448">
        <v>293.72000000000003</v>
      </c>
      <c r="G448" t="s">
        <v>22</v>
      </c>
      <c r="H448">
        <f t="shared" si="6"/>
        <v>25</v>
      </c>
    </row>
    <row r="449" spans="1:8">
      <c r="A449" s="1">
        <v>46156</v>
      </c>
      <c r="B449" t="s">
        <v>23</v>
      </c>
      <c r="C449" t="s">
        <v>25</v>
      </c>
      <c r="D449">
        <v>1199.18</v>
      </c>
      <c r="E449">
        <v>558.12</v>
      </c>
      <c r="F449">
        <v>641.05999999999995</v>
      </c>
      <c r="G449" t="s">
        <v>22</v>
      </c>
      <c r="H449">
        <f t="shared" si="6"/>
        <v>20</v>
      </c>
    </row>
    <row r="450" spans="1:8">
      <c r="A450" s="1">
        <v>46119</v>
      </c>
      <c r="B450" t="s">
        <v>23</v>
      </c>
      <c r="C450" t="s">
        <v>26</v>
      </c>
      <c r="D450">
        <v>1390.89</v>
      </c>
      <c r="E450">
        <v>1394.06</v>
      </c>
      <c r="F450">
        <v>-3.1699999999998454</v>
      </c>
      <c r="G450" t="s">
        <v>22</v>
      </c>
      <c r="H450">
        <f t="shared" ref="H450:H513" si="7">WEEKNUM(A450,2)</f>
        <v>15</v>
      </c>
    </row>
    <row r="451" spans="1:8">
      <c r="A451" s="1">
        <v>46128</v>
      </c>
      <c r="B451" t="s">
        <v>23</v>
      </c>
      <c r="C451" t="s">
        <v>27</v>
      </c>
      <c r="D451">
        <v>1620.34</v>
      </c>
      <c r="E451">
        <v>1593.55</v>
      </c>
      <c r="F451">
        <v>26.79</v>
      </c>
      <c r="G451" t="s">
        <v>22</v>
      </c>
      <c r="H451">
        <f t="shared" si="7"/>
        <v>16</v>
      </c>
    </row>
    <row r="452" spans="1:8">
      <c r="A452" s="1">
        <v>46101</v>
      </c>
      <c r="B452" t="s">
        <v>20</v>
      </c>
      <c r="C452" t="s">
        <v>29</v>
      </c>
      <c r="D452">
        <v>463.38</v>
      </c>
      <c r="E452">
        <v>1706.26</v>
      </c>
      <c r="F452">
        <v>-1242.8800000000001</v>
      </c>
      <c r="G452" t="s">
        <v>22</v>
      </c>
      <c r="H452">
        <f t="shared" si="7"/>
        <v>12</v>
      </c>
    </row>
    <row r="453" spans="1:8">
      <c r="A453" s="1">
        <v>46191</v>
      </c>
      <c r="B453" t="s">
        <v>23</v>
      </c>
      <c r="C453" t="s">
        <v>32</v>
      </c>
      <c r="D453">
        <v>310.26</v>
      </c>
      <c r="E453">
        <v>1702.83</v>
      </c>
      <c r="F453">
        <v>-1392.57</v>
      </c>
      <c r="G453" t="s">
        <v>22</v>
      </c>
      <c r="H453">
        <f t="shared" si="7"/>
        <v>25</v>
      </c>
    </row>
    <row r="454" spans="1:8">
      <c r="A454" s="1">
        <v>46084</v>
      </c>
      <c r="B454" t="s">
        <v>20</v>
      </c>
      <c r="C454" t="s">
        <v>28</v>
      </c>
      <c r="D454">
        <v>687.43</v>
      </c>
      <c r="E454">
        <v>931.1</v>
      </c>
      <c r="F454">
        <v>-243.67</v>
      </c>
      <c r="G454" t="s">
        <v>22</v>
      </c>
      <c r="H454">
        <f t="shared" si="7"/>
        <v>10</v>
      </c>
    </row>
    <row r="455" spans="1:8">
      <c r="A455" s="1">
        <v>46042</v>
      </c>
      <c r="B455" t="s">
        <v>23</v>
      </c>
      <c r="C455" t="s">
        <v>29</v>
      </c>
      <c r="D455">
        <v>1998.75</v>
      </c>
      <c r="E455">
        <v>2421.83</v>
      </c>
      <c r="F455">
        <v>-423.08</v>
      </c>
      <c r="G455" t="s">
        <v>22</v>
      </c>
      <c r="H455">
        <f t="shared" si="7"/>
        <v>4</v>
      </c>
    </row>
    <row r="456" spans="1:8">
      <c r="A456" s="1">
        <v>46134</v>
      </c>
      <c r="B456" t="s">
        <v>23</v>
      </c>
      <c r="C456" t="s">
        <v>29</v>
      </c>
      <c r="D456">
        <v>1832.96</v>
      </c>
      <c r="E456">
        <v>485.15</v>
      </c>
      <c r="F456">
        <v>1347.81</v>
      </c>
      <c r="G456" t="s">
        <v>22</v>
      </c>
      <c r="H456">
        <f t="shared" si="7"/>
        <v>17</v>
      </c>
    </row>
    <row r="457" spans="1:8">
      <c r="A457" s="1">
        <v>46147</v>
      </c>
      <c r="B457" t="s">
        <v>20</v>
      </c>
      <c r="C457" t="s">
        <v>28</v>
      </c>
      <c r="D457">
        <v>677.39</v>
      </c>
      <c r="E457">
        <v>531.71</v>
      </c>
      <c r="F457">
        <v>145.68</v>
      </c>
      <c r="G457" t="s">
        <v>22</v>
      </c>
      <c r="H457">
        <f t="shared" si="7"/>
        <v>19</v>
      </c>
    </row>
    <row r="458" spans="1:8">
      <c r="A458" s="1">
        <v>46101</v>
      </c>
      <c r="B458" t="s">
        <v>23</v>
      </c>
      <c r="C458" t="s">
        <v>31</v>
      </c>
      <c r="D458">
        <v>1255.43</v>
      </c>
      <c r="E458">
        <v>1325.41</v>
      </c>
      <c r="F458">
        <v>-69.98</v>
      </c>
      <c r="G458" t="s">
        <v>22</v>
      </c>
      <c r="H458">
        <f t="shared" si="7"/>
        <v>12</v>
      </c>
    </row>
    <row r="459" spans="1:8">
      <c r="A459" s="1">
        <v>46155</v>
      </c>
      <c r="B459" t="s">
        <v>23</v>
      </c>
      <c r="C459" t="s">
        <v>28</v>
      </c>
      <c r="D459">
        <v>2164.12</v>
      </c>
      <c r="E459">
        <v>768.57</v>
      </c>
      <c r="F459">
        <v>1395.55</v>
      </c>
      <c r="G459" t="s">
        <v>22</v>
      </c>
      <c r="H459">
        <f t="shared" si="7"/>
        <v>20</v>
      </c>
    </row>
    <row r="460" spans="1:8">
      <c r="A460" s="1">
        <v>46051</v>
      </c>
      <c r="B460" t="s">
        <v>23</v>
      </c>
      <c r="C460" t="s">
        <v>29</v>
      </c>
      <c r="D460">
        <v>1451.12</v>
      </c>
      <c r="E460">
        <v>1704.2</v>
      </c>
      <c r="F460">
        <v>-253.08</v>
      </c>
      <c r="G460" t="s">
        <v>22</v>
      </c>
      <c r="H460">
        <f t="shared" si="7"/>
        <v>5</v>
      </c>
    </row>
    <row r="461" spans="1:8">
      <c r="A461" s="1">
        <v>46035</v>
      </c>
      <c r="B461" t="s">
        <v>20</v>
      </c>
      <c r="C461" t="s">
        <v>29</v>
      </c>
      <c r="D461">
        <v>539.92999999999995</v>
      </c>
      <c r="E461">
        <v>1069.6600000000001</v>
      </c>
      <c r="F461">
        <v>-529.73</v>
      </c>
      <c r="G461" t="s">
        <v>22</v>
      </c>
      <c r="H461">
        <f t="shared" si="7"/>
        <v>3</v>
      </c>
    </row>
    <row r="462" spans="1:8">
      <c r="A462" s="1">
        <v>46084</v>
      </c>
      <c r="B462" t="s">
        <v>23</v>
      </c>
      <c r="C462" t="s">
        <v>21</v>
      </c>
      <c r="D462">
        <v>1179.9100000000001</v>
      </c>
      <c r="E462">
        <v>535.46</v>
      </c>
      <c r="F462">
        <v>644.45000000000005</v>
      </c>
      <c r="G462" t="s">
        <v>22</v>
      </c>
      <c r="H462">
        <f t="shared" si="7"/>
        <v>10</v>
      </c>
    </row>
    <row r="463" spans="1:8">
      <c r="A463" s="1">
        <v>46094</v>
      </c>
      <c r="B463" t="s">
        <v>23</v>
      </c>
      <c r="C463" t="s">
        <v>28</v>
      </c>
      <c r="D463">
        <v>1015.58</v>
      </c>
      <c r="E463">
        <v>214.65</v>
      </c>
      <c r="F463">
        <v>800.93</v>
      </c>
      <c r="G463" t="s">
        <v>22</v>
      </c>
      <c r="H463">
        <f t="shared" si="7"/>
        <v>11</v>
      </c>
    </row>
    <row r="464" spans="1:8">
      <c r="A464" s="1">
        <v>46127</v>
      </c>
      <c r="B464" t="s">
        <v>23</v>
      </c>
      <c r="C464" t="s">
        <v>26</v>
      </c>
      <c r="D464">
        <v>2189.73</v>
      </c>
      <c r="E464">
        <v>1523.13</v>
      </c>
      <c r="F464">
        <v>666.6</v>
      </c>
      <c r="G464" t="s">
        <v>22</v>
      </c>
      <c r="H464">
        <f t="shared" si="7"/>
        <v>16</v>
      </c>
    </row>
    <row r="465" spans="1:8">
      <c r="A465" s="1">
        <v>46034</v>
      </c>
      <c r="B465" t="s">
        <v>20</v>
      </c>
      <c r="C465" t="s">
        <v>31</v>
      </c>
      <c r="D465">
        <v>1912.25</v>
      </c>
      <c r="E465">
        <v>295.26</v>
      </c>
      <c r="F465">
        <v>1616.99</v>
      </c>
      <c r="G465" t="s">
        <v>22</v>
      </c>
      <c r="H465">
        <f t="shared" si="7"/>
        <v>3</v>
      </c>
    </row>
    <row r="466" spans="1:8">
      <c r="A466" s="1">
        <v>46114</v>
      </c>
      <c r="B466" t="s">
        <v>20</v>
      </c>
      <c r="C466" t="s">
        <v>26</v>
      </c>
      <c r="D466">
        <v>2148.04</v>
      </c>
      <c r="E466">
        <v>288.74</v>
      </c>
      <c r="F466">
        <v>1859.3</v>
      </c>
      <c r="G466" t="s">
        <v>22</v>
      </c>
      <c r="H466">
        <f t="shared" si="7"/>
        <v>14</v>
      </c>
    </row>
    <row r="467" spans="1:8">
      <c r="A467" s="1">
        <v>46107</v>
      </c>
      <c r="B467" t="s">
        <v>20</v>
      </c>
      <c r="C467" t="s">
        <v>29</v>
      </c>
      <c r="D467">
        <v>783.18</v>
      </c>
      <c r="E467">
        <v>2099.9</v>
      </c>
      <c r="F467">
        <v>-1316.72</v>
      </c>
      <c r="G467" t="s">
        <v>22</v>
      </c>
      <c r="H467">
        <f t="shared" si="7"/>
        <v>13</v>
      </c>
    </row>
    <row r="468" spans="1:8">
      <c r="A468" s="1">
        <v>46139</v>
      </c>
      <c r="B468" t="s">
        <v>23</v>
      </c>
      <c r="C468" t="s">
        <v>21</v>
      </c>
      <c r="D468">
        <v>2496.0500000000002</v>
      </c>
      <c r="E468">
        <v>1303.19</v>
      </c>
      <c r="F468">
        <v>1192.8599999999999</v>
      </c>
      <c r="G468" t="s">
        <v>22</v>
      </c>
      <c r="H468">
        <f t="shared" si="7"/>
        <v>18</v>
      </c>
    </row>
    <row r="469" spans="1:8">
      <c r="A469" s="1">
        <v>46036</v>
      </c>
      <c r="B469" t="s">
        <v>23</v>
      </c>
      <c r="C469" t="s">
        <v>26</v>
      </c>
      <c r="D469">
        <v>346.3</v>
      </c>
      <c r="E469">
        <v>952.65</v>
      </c>
      <c r="F469">
        <v>-606.35</v>
      </c>
      <c r="G469" t="s">
        <v>22</v>
      </c>
      <c r="H469">
        <f t="shared" si="7"/>
        <v>3</v>
      </c>
    </row>
    <row r="470" spans="1:8">
      <c r="A470" s="1">
        <v>46177</v>
      </c>
      <c r="B470" t="s">
        <v>20</v>
      </c>
      <c r="C470" t="s">
        <v>25</v>
      </c>
      <c r="D470">
        <v>367.19</v>
      </c>
      <c r="E470">
        <v>352.14</v>
      </c>
      <c r="F470">
        <v>15.05</v>
      </c>
      <c r="G470" t="s">
        <v>22</v>
      </c>
      <c r="H470">
        <f t="shared" si="7"/>
        <v>23</v>
      </c>
    </row>
    <row r="471" spans="1:8">
      <c r="A471" s="1">
        <v>46183</v>
      </c>
      <c r="B471" t="s">
        <v>20</v>
      </c>
      <c r="C471" t="s">
        <v>21</v>
      </c>
      <c r="D471">
        <v>2057.92</v>
      </c>
      <c r="E471">
        <v>505.13</v>
      </c>
      <c r="F471">
        <v>1552.79</v>
      </c>
      <c r="G471" t="s">
        <v>22</v>
      </c>
      <c r="H471">
        <f t="shared" si="7"/>
        <v>24</v>
      </c>
    </row>
    <row r="472" spans="1:8">
      <c r="A472" s="1">
        <v>46195</v>
      </c>
      <c r="B472" t="s">
        <v>20</v>
      </c>
      <c r="C472" t="s">
        <v>21</v>
      </c>
      <c r="D472">
        <v>1214.8599999999999</v>
      </c>
      <c r="E472">
        <v>1062.3900000000001</v>
      </c>
      <c r="F472">
        <v>152.47</v>
      </c>
      <c r="G472" t="s">
        <v>22</v>
      </c>
      <c r="H472">
        <f t="shared" si="7"/>
        <v>26</v>
      </c>
    </row>
    <row r="473" spans="1:8">
      <c r="A473" s="1">
        <v>46176</v>
      </c>
      <c r="B473" t="s">
        <v>23</v>
      </c>
      <c r="C473" t="s">
        <v>24</v>
      </c>
      <c r="D473">
        <v>1625.17</v>
      </c>
      <c r="E473">
        <v>2394.56</v>
      </c>
      <c r="F473">
        <v>-769.39</v>
      </c>
      <c r="G473" t="s">
        <v>22</v>
      </c>
      <c r="H473">
        <f t="shared" si="7"/>
        <v>23</v>
      </c>
    </row>
    <row r="474" spans="1:8">
      <c r="A474" s="1">
        <v>46148</v>
      </c>
      <c r="B474" t="s">
        <v>20</v>
      </c>
      <c r="C474" t="s">
        <v>25</v>
      </c>
      <c r="D474">
        <v>2105.77</v>
      </c>
      <c r="E474">
        <v>768.99</v>
      </c>
      <c r="F474">
        <v>1336.78</v>
      </c>
      <c r="G474" t="s">
        <v>22</v>
      </c>
      <c r="H474">
        <f t="shared" si="7"/>
        <v>19</v>
      </c>
    </row>
    <row r="475" spans="1:8">
      <c r="A475" s="1">
        <v>46127</v>
      </c>
      <c r="B475" t="s">
        <v>20</v>
      </c>
      <c r="C475" t="s">
        <v>28</v>
      </c>
      <c r="D475">
        <v>1227.68</v>
      </c>
      <c r="E475">
        <v>1726.79</v>
      </c>
      <c r="F475">
        <v>-499.11</v>
      </c>
      <c r="G475" t="s">
        <v>22</v>
      </c>
      <c r="H475">
        <f t="shared" si="7"/>
        <v>16</v>
      </c>
    </row>
    <row r="476" spans="1:8">
      <c r="A476" s="1">
        <v>46065</v>
      </c>
      <c r="B476" t="s">
        <v>20</v>
      </c>
      <c r="C476" t="s">
        <v>21</v>
      </c>
      <c r="D476">
        <v>1356.48</v>
      </c>
      <c r="E476">
        <v>1029.0999999999999</v>
      </c>
      <c r="F476">
        <v>327.38</v>
      </c>
      <c r="G476" t="s">
        <v>22</v>
      </c>
      <c r="H476">
        <f t="shared" si="7"/>
        <v>7</v>
      </c>
    </row>
    <row r="477" spans="1:8">
      <c r="A477" s="1">
        <v>46142</v>
      </c>
      <c r="B477" t="s">
        <v>20</v>
      </c>
      <c r="C477" t="s">
        <v>26</v>
      </c>
      <c r="D477">
        <v>2054.65</v>
      </c>
      <c r="E477">
        <v>984.16</v>
      </c>
      <c r="F477">
        <v>1070.49</v>
      </c>
      <c r="G477" t="s">
        <v>22</v>
      </c>
      <c r="H477">
        <f t="shared" si="7"/>
        <v>18</v>
      </c>
    </row>
    <row r="478" spans="1:8">
      <c r="A478" s="1">
        <v>46134</v>
      </c>
      <c r="B478" t="s">
        <v>23</v>
      </c>
      <c r="C478" t="s">
        <v>21</v>
      </c>
      <c r="D478">
        <v>2540.1999999999998</v>
      </c>
      <c r="E478">
        <v>1145.3699999999999</v>
      </c>
      <c r="F478">
        <v>1394.83</v>
      </c>
      <c r="G478" t="s">
        <v>22</v>
      </c>
      <c r="H478">
        <f t="shared" si="7"/>
        <v>17</v>
      </c>
    </row>
    <row r="479" spans="1:8">
      <c r="A479" s="1">
        <v>46086</v>
      </c>
      <c r="B479" t="s">
        <v>23</v>
      </c>
      <c r="C479" t="s">
        <v>29</v>
      </c>
      <c r="D479">
        <v>278.52</v>
      </c>
      <c r="E479">
        <v>1089.27</v>
      </c>
      <c r="F479">
        <v>-810.75</v>
      </c>
      <c r="G479" t="s">
        <v>22</v>
      </c>
      <c r="H479">
        <f t="shared" si="7"/>
        <v>10</v>
      </c>
    </row>
    <row r="480" spans="1:8">
      <c r="A480" s="1">
        <v>46153</v>
      </c>
      <c r="B480" t="s">
        <v>23</v>
      </c>
      <c r="C480" t="s">
        <v>29</v>
      </c>
      <c r="D480">
        <v>1117.95</v>
      </c>
      <c r="E480">
        <v>2287.09</v>
      </c>
      <c r="F480">
        <v>-1169.1400000000001</v>
      </c>
      <c r="G480" t="s">
        <v>22</v>
      </c>
      <c r="H480">
        <f t="shared" si="7"/>
        <v>20</v>
      </c>
    </row>
    <row r="481" spans="1:8">
      <c r="A481" s="1">
        <v>46092</v>
      </c>
      <c r="B481" t="s">
        <v>23</v>
      </c>
      <c r="C481" t="s">
        <v>21</v>
      </c>
      <c r="D481">
        <v>1338.24</v>
      </c>
      <c r="E481">
        <v>418.94</v>
      </c>
      <c r="F481">
        <v>919.3</v>
      </c>
      <c r="G481" t="s">
        <v>22</v>
      </c>
      <c r="H481">
        <f t="shared" si="7"/>
        <v>11</v>
      </c>
    </row>
    <row r="482" spans="1:8">
      <c r="A482" s="1">
        <v>46134</v>
      </c>
      <c r="B482" t="s">
        <v>20</v>
      </c>
      <c r="C482" t="s">
        <v>30</v>
      </c>
      <c r="D482">
        <v>692.17</v>
      </c>
      <c r="E482">
        <v>899.84</v>
      </c>
      <c r="F482">
        <v>-207.67</v>
      </c>
      <c r="G482" t="s">
        <v>22</v>
      </c>
      <c r="H482">
        <f t="shared" si="7"/>
        <v>17</v>
      </c>
    </row>
    <row r="483" spans="1:8">
      <c r="A483" s="1">
        <v>46037</v>
      </c>
      <c r="B483" t="s">
        <v>23</v>
      </c>
      <c r="C483" t="s">
        <v>27</v>
      </c>
      <c r="D483">
        <v>1812.06</v>
      </c>
      <c r="E483">
        <v>919.99</v>
      </c>
      <c r="F483">
        <v>892.07</v>
      </c>
      <c r="G483" t="s">
        <v>22</v>
      </c>
      <c r="H483">
        <f t="shared" si="7"/>
        <v>3</v>
      </c>
    </row>
    <row r="484" spans="1:8">
      <c r="A484" s="1">
        <v>46093</v>
      </c>
      <c r="B484" t="s">
        <v>23</v>
      </c>
      <c r="C484" t="s">
        <v>24</v>
      </c>
      <c r="D484">
        <v>2283.42</v>
      </c>
      <c r="E484">
        <v>1930.55</v>
      </c>
      <c r="F484">
        <v>352.87</v>
      </c>
      <c r="G484" t="s">
        <v>22</v>
      </c>
      <c r="H484">
        <f t="shared" si="7"/>
        <v>11</v>
      </c>
    </row>
    <row r="485" spans="1:8">
      <c r="A485" s="1">
        <v>46070</v>
      </c>
      <c r="B485" t="s">
        <v>23</v>
      </c>
      <c r="C485" t="s">
        <v>26</v>
      </c>
      <c r="D485">
        <v>2025.2</v>
      </c>
      <c r="E485">
        <v>288.07</v>
      </c>
      <c r="F485">
        <v>1737.13</v>
      </c>
      <c r="G485" t="s">
        <v>22</v>
      </c>
      <c r="H485">
        <f t="shared" si="7"/>
        <v>8</v>
      </c>
    </row>
    <row r="486" spans="1:8">
      <c r="A486" s="1">
        <v>46199</v>
      </c>
      <c r="B486" t="s">
        <v>23</v>
      </c>
      <c r="C486" t="s">
        <v>21</v>
      </c>
      <c r="D486">
        <v>1661.2</v>
      </c>
      <c r="E486">
        <v>942.3</v>
      </c>
      <c r="F486">
        <v>718.9</v>
      </c>
      <c r="G486" t="s">
        <v>22</v>
      </c>
      <c r="H486">
        <f t="shared" si="7"/>
        <v>26</v>
      </c>
    </row>
    <row r="487" spans="1:8">
      <c r="A487" s="1">
        <v>46160</v>
      </c>
      <c r="B487" t="s">
        <v>23</v>
      </c>
      <c r="C487" t="s">
        <v>26</v>
      </c>
      <c r="D487">
        <v>1151.92</v>
      </c>
      <c r="E487">
        <v>774.39</v>
      </c>
      <c r="F487">
        <v>377.53</v>
      </c>
      <c r="G487" t="s">
        <v>22</v>
      </c>
      <c r="H487">
        <f t="shared" si="7"/>
        <v>21</v>
      </c>
    </row>
    <row r="488" spans="1:8">
      <c r="A488" s="1">
        <v>46035</v>
      </c>
      <c r="B488" t="s">
        <v>23</v>
      </c>
      <c r="C488" t="s">
        <v>26</v>
      </c>
      <c r="D488">
        <v>2206.4699999999998</v>
      </c>
      <c r="E488">
        <v>2525.59</v>
      </c>
      <c r="F488">
        <v>-319.12000000000035</v>
      </c>
      <c r="G488" t="s">
        <v>22</v>
      </c>
      <c r="H488">
        <f t="shared" si="7"/>
        <v>3</v>
      </c>
    </row>
    <row r="489" spans="1:8">
      <c r="A489" s="1">
        <v>46161</v>
      </c>
      <c r="B489" t="s">
        <v>23</v>
      </c>
      <c r="C489" t="s">
        <v>25</v>
      </c>
      <c r="D489">
        <v>2443.42</v>
      </c>
      <c r="E489">
        <v>1589.94</v>
      </c>
      <c r="F489">
        <v>853.48</v>
      </c>
      <c r="G489" t="s">
        <v>22</v>
      </c>
      <c r="H489">
        <f t="shared" si="7"/>
        <v>21</v>
      </c>
    </row>
    <row r="490" spans="1:8">
      <c r="A490" s="1">
        <v>46149</v>
      </c>
      <c r="B490" t="s">
        <v>20</v>
      </c>
      <c r="C490" t="s">
        <v>21</v>
      </c>
      <c r="D490">
        <v>2177.12</v>
      </c>
      <c r="E490">
        <v>915.93</v>
      </c>
      <c r="F490">
        <v>1261.19</v>
      </c>
      <c r="G490" t="s">
        <v>22</v>
      </c>
      <c r="H490">
        <f t="shared" si="7"/>
        <v>19</v>
      </c>
    </row>
    <row r="491" spans="1:8">
      <c r="A491" s="1">
        <v>46064</v>
      </c>
      <c r="B491" t="s">
        <v>23</v>
      </c>
      <c r="C491" t="s">
        <v>21</v>
      </c>
      <c r="D491">
        <v>2585.4</v>
      </c>
      <c r="E491">
        <v>484.28</v>
      </c>
      <c r="F491">
        <v>2101.12</v>
      </c>
      <c r="G491" t="s">
        <v>22</v>
      </c>
      <c r="H491">
        <f t="shared" si="7"/>
        <v>7</v>
      </c>
    </row>
    <row r="492" spans="1:8">
      <c r="A492" s="1">
        <v>46140</v>
      </c>
      <c r="B492" t="s">
        <v>20</v>
      </c>
      <c r="C492" t="s">
        <v>26</v>
      </c>
      <c r="D492">
        <v>655.36</v>
      </c>
      <c r="E492">
        <v>1294.08</v>
      </c>
      <c r="F492">
        <v>-638.71999999999991</v>
      </c>
      <c r="G492" t="s">
        <v>22</v>
      </c>
      <c r="H492">
        <f t="shared" si="7"/>
        <v>18</v>
      </c>
    </row>
    <row r="493" spans="1:8">
      <c r="A493" s="1">
        <v>46092</v>
      </c>
      <c r="B493" t="s">
        <v>23</v>
      </c>
      <c r="C493" t="s">
        <v>26</v>
      </c>
      <c r="D493">
        <v>950.06</v>
      </c>
      <c r="E493">
        <v>811.74</v>
      </c>
      <c r="F493">
        <v>138.32</v>
      </c>
      <c r="G493" t="s">
        <v>22</v>
      </c>
      <c r="H493">
        <f t="shared" si="7"/>
        <v>11</v>
      </c>
    </row>
    <row r="494" spans="1:8">
      <c r="A494" s="1">
        <v>46024</v>
      </c>
      <c r="B494" t="s">
        <v>23</v>
      </c>
      <c r="C494" t="s">
        <v>25</v>
      </c>
      <c r="D494">
        <v>389.12</v>
      </c>
      <c r="E494">
        <v>903.63</v>
      </c>
      <c r="F494">
        <v>-514.51</v>
      </c>
      <c r="G494" t="s">
        <v>22</v>
      </c>
      <c r="H494">
        <f t="shared" si="7"/>
        <v>1</v>
      </c>
    </row>
    <row r="495" spans="1:8">
      <c r="A495" s="1">
        <v>46154</v>
      </c>
      <c r="B495" t="s">
        <v>23</v>
      </c>
      <c r="C495" t="s">
        <v>24</v>
      </c>
      <c r="D495">
        <v>652.35</v>
      </c>
      <c r="E495">
        <v>2300.5</v>
      </c>
      <c r="F495">
        <v>-1648.15</v>
      </c>
      <c r="G495" t="s">
        <v>22</v>
      </c>
      <c r="H495">
        <f t="shared" si="7"/>
        <v>20</v>
      </c>
    </row>
    <row r="496" spans="1:8">
      <c r="A496" s="1">
        <v>46090</v>
      </c>
      <c r="B496" t="s">
        <v>20</v>
      </c>
      <c r="C496" t="s">
        <v>32</v>
      </c>
      <c r="D496">
        <v>507.72</v>
      </c>
      <c r="E496">
        <v>1505.17</v>
      </c>
      <c r="F496">
        <v>-997.45</v>
      </c>
      <c r="G496" t="s">
        <v>22</v>
      </c>
      <c r="H496">
        <f t="shared" si="7"/>
        <v>11</v>
      </c>
    </row>
    <row r="497" spans="1:8">
      <c r="A497" s="1">
        <v>46142</v>
      </c>
      <c r="B497" t="s">
        <v>23</v>
      </c>
      <c r="C497" t="s">
        <v>26</v>
      </c>
      <c r="D497">
        <v>885</v>
      </c>
      <c r="E497">
        <v>341.99</v>
      </c>
      <c r="F497">
        <v>543.01</v>
      </c>
      <c r="G497" t="s">
        <v>22</v>
      </c>
      <c r="H497">
        <f t="shared" si="7"/>
        <v>18</v>
      </c>
    </row>
    <row r="498" spans="1:8">
      <c r="A498" s="1">
        <v>46090</v>
      </c>
      <c r="B498" t="s">
        <v>23</v>
      </c>
      <c r="C498" t="s">
        <v>32</v>
      </c>
      <c r="D498">
        <v>1989.6</v>
      </c>
      <c r="E498">
        <v>1342.99</v>
      </c>
      <c r="F498">
        <v>646.61</v>
      </c>
      <c r="G498" t="s">
        <v>22</v>
      </c>
      <c r="H498">
        <f t="shared" si="7"/>
        <v>11</v>
      </c>
    </row>
    <row r="499" spans="1:8">
      <c r="A499" s="1">
        <v>46148</v>
      </c>
      <c r="B499" t="s">
        <v>20</v>
      </c>
      <c r="C499" t="s">
        <v>21</v>
      </c>
      <c r="D499">
        <v>632.82000000000005</v>
      </c>
      <c r="E499">
        <v>1695.2</v>
      </c>
      <c r="F499">
        <v>-1062.3800000000001</v>
      </c>
      <c r="G499" t="s">
        <v>22</v>
      </c>
      <c r="H499">
        <f t="shared" si="7"/>
        <v>19</v>
      </c>
    </row>
    <row r="500" spans="1:8">
      <c r="A500" s="1">
        <v>46031</v>
      </c>
      <c r="B500" t="s">
        <v>23</v>
      </c>
      <c r="C500" t="s">
        <v>31</v>
      </c>
      <c r="D500">
        <v>1442.18</v>
      </c>
      <c r="E500">
        <v>490.41</v>
      </c>
      <c r="F500">
        <v>951.77</v>
      </c>
      <c r="G500" t="s">
        <v>22</v>
      </c>
      <c r="H500">
        <f t="shared" si="7"/>
        <v>2</v>
      </c>
    </row>
    <row r="501" spans="1:8">
      <c r="A501" s="1">
        <v>46073</v>
      </c>
      <c r="B501" t="s">
        <v>23</v>
      </c>
      <c r="C501" t="s">
        <v>26</v>
      </c>
      <c r="D501">
        <v>1362.42</v>
      </c>
      <c r="E501">
        <v>997.86</v>
      </c>
      <c r="F501">
        <v>364.56</v>
      </c>
      <c r="G501" t="s">
        <v>22</v>
      </c>
      <c r="H501">
        <f t="shared" si="7"/>
        <v>8</v>
      </c>
    </row>
    <row r="502" spans="1:8">
      <c r="A502" s="1">
        <v>46099</v>
      </c>
      <c r="B502" t="s">
        <v>20</v>
      </c>
      <c r="C502" t="s">
        <v>24</v>
      </c>
      <c r="D502">
        <v>621.73</v>
      </c>
      <c r="E502">
        <v>1295.3800000000001</v>
      </c>
      <c r="F502">
        <v>-673.65</v>
      </c>
      <c r="G502" t="s">
        <v>22</v>
      </c>
      <c r="H502">
        <f t="shared" si="7"/>
        <v>12</v>
      </c>
    </row>
    <row r="503" spans="1:8">
      <c r="A503" s="1">
        <v>46136</v>
      </c>
      <c r="B503" t="s">
        <v>20</v>
      </c>
      <c r="C503" t="s">
        <v>25</v>
      </c>
      <c r="D503">
        <v>374.69</v>
      </c>
      <c r="E503">
        <v>1003.91</v>
      </c>
      <c r="F503">
        <v>-629.22</v>
      </c>
      <c r="G503" t="s">
        <v>22</v>
      </c>
      <c r="H503">
        <f t="shared" si="7"/>
        <v>17</v>
      </c>
    </row>
    <row r="504" spans="1:8">
      <c r="A504" s="1">
        <v>46097</v>
      </c>
      <c r="B504" t="s">
        <v>23</v>
      </c>
      <c r="C504" t="s">
        <v>30</v>
      </c>
      <c r="D504">
        <v>319.43</v>
      </c>
      <c r="E504">
        <v>395.8</v>
      </c>
      <c r="F504">
        <v>-76.37</v>
      </c>
      <c r="G504" t="s">
        <v>22</v>
      </c>
      <c r="H504">
        <f t="shared" si="7"/>
        <v>12</v>
      </c>
    </row>
    <row r="505" spans="1:8">
      <c r="A505" s="1">
        <v>46171</v>
      </c>
      <c r="B505" t="s">
        <v>23</v>
      </c>
      <c r="C505" t="s">
        <v>30</v>
      </c>
      <c r="D505">
        <v>919.41</v>
      </c>
      <c r="E505">
        <v>2078.4</v>
      </c>
      <c r="F505">
        <v>-1158.99</v>
      </c>
      <c r="G505" t="s">
        <v>22</v>
      </c>
      <c r="H505">
        <f t="shared" si="7"/>
        <v>22</v>
      </c>
    </row>
    <row r="506" spans="1:8">
      <c r="A506" s="1">
        <v>46057</v>
      </c>
      <c r="B506" t="s">
        <v>23</v>
      </c>
      <c r="C506" t="s">
        <v>29</v>
      </c>
      <c r="D506">
        <v>948.7</v>
      </c>
      <c r="E506">
        <v>1825.63</v>
      </c>
      <c r="F506">
        <v>-876.93</v>
      </c>
      <c r="G506" t="s">
        <v>22</v>
      </c>
      <c r="H506">
        <f t="shared" si="7"/>
        <v>6</v>
      </c>
    </row>
    <row r="507" spans="1:8">
      <c r="A507" s="1">
        <v>46128</v>
      </c>
      <c r="B507" t="s">
        <v>20</v>
      </c>
      <c r="C507" t="s">
        <v>29</v>
      </c>
      <c r="D507">
        <v>773.46</v>
      </c>
      <c r="E507">
        <v>482.03</v>
      </c>
      <c r="F507">
        <v>291.43</v>
      </c>
      <c r="G507" t="s">
        <v>22</v>
      </c>
      <c r="H507">
        <f t="shared" si="7"/>
        <v>16</v>
      </c>
    </row>
    <row r="508" spans="1:8">
      <c r="A508" s="1">
        <v>46028</v>
      </c>
      <c r="B508" t="s">
        <v>20</v>
      </c>
      <c r="C508" t="s">
        <v>27</v>
      </c>
      <c r="D508">
        <v>285.69</v>
      </c>
      <c r="E508">
        <v>2021.93</v>
      </c>
      <c r="F508">
        <v>-1736.24</v>
      </c>
      <c r="G508" t="s">
        <v>22</v>
      </c>
      <c r="H508">
        <f t="shared" si="7"/>
        <v>2</v>
      </c>
    </row>
    <row r="509" spans="1:8">
      <c r="A509" s="1">
        <v>46178</v>
      </c>
      <c r="B509" t="s">
        <v>23</v>
      </c>
      <c r="C509" t="s">
        <v>29</v>
      </c>
      <c r="D509">
        <v>2238.0300000000002</v>
      </c>
      <c r="E509">
        <v>1755.13</v>
      </c>
      <c r="F509">
        <v>482.9</v>
      </c>
      <c r="G509" t="s">
        <v>22</v>
      </c>
      <c r="H509">
        <f t="shared" si="7"/>
        <v>23</v>
      </c>
    </row>
    <row r="510" spans="1:8">
      <c r="A510" s="1">
        <v>46050</v>
      </c>
      <c r="B510" t="s">
        <v>23</v>
      </c>
      <c r="C510" t="s">
        <v>24</v>
      </c>
      <c r="D510">
        <v>213.31</v>
      </c>
      <c r="E510">
        <v>2002.31</v>
      </c>
      <c r="F510">
        <v>-1789</v>
      </c>
      <c r="G510" t="s">
        <v>22</v>
      </c>
      <c r="H510">
        <f t="shared" si="7"/>
        <v>5</v>
      </c>
    </row>
    <row r="511" spans="1:8">
      <c r="A511" s="1">
        <v>46163</v>
      </c>
      <c r="B511" t="s">
        <v>23</v>
      </c>
      <c r="C511" t="s">
        <v>25</v>
      </c>
      <c r="D511">
        <v>1485.77</v>
      </c>
      <c r="E511">
        <v>888.05</v>
      </c>
      <c r="F511">
        <v>597.72</v>
      </c>
      <c r="G511" t="s">
        <v>22</v>
      </c>
      <c r="H511">
        <f t="shared" si="7"/>
        <v>21</v>
      </c>
    </row>
    <row r="512" spans="1:8">
      <c r="A512" s="1">
        <v>46182</v>
      </c>
      <c r="B512" t="s">
        <v>23</v>
      </c>
      <c r="C512" t="s">
        <v>27</v>
      </c>
      <c r="D512">
        <v>1816.61</v>
      </c>
      <c r="E512">
        <v>2121.4699999999998</v>
      </c>
      <c r="F512">
        <v>-304.86</v>
      </c>
      <c r="G512" t="s">
        <v>22</v>
      </c>
      <c r="H512">
        <f t="shared" si="7"/>
        <v>24</v>
      </c>
    </row>
    <row r="513" spans="1:8">
      <c r="A513" s="1">
        <v>46027</v>
      </c>
      <c r="B513" t="s">
        <v>23</v>
      </c>
      <c r="C513" t="s">
        <v>30</v>
      </c>
      <c r="D513">
        <v>2420.94</v>
      </c>
      <c r="E513">
        <v>1851.59</v>
      </c>
      <c r="F513">
        <v>569.35</v>
      </c>
      <c r="G513" t="s">
        <v>22</v>
      </c>
      <c r="H513">
        <f t="shared" si="7"/>
        <v>2</v>
      </c>
    </row>
    <row r="514" spans="1:8">
      <c r="A514" s="1">
        <v>46198</v>
      </c>
      <c r="B514" t="s">
        <v>23</v>
      </c>
      <c r="C514" t="s">
        <v>29</v>
      </c>
      <c r="D514">
        <v>829.24</v>
      </c>
      <c r="E514">
        <v>295.58</v>
      </c>
      <c r="F514">
        <v>533.66</v>
      </c>
      <c r="G514" t="s">
        <v>22</v>
      </c>
      <c r="H514">
        <f t="shared" ref="H514:H577" si="8">WEEKNUM(A514,2)</f>
        <v>26</v>
      </c>
    </row>
    <row r="515" spans="1:8">
      <c r="A515" s="1">
        <v>46056</v>
      </c>
      <c r="B515" t="s">
        <v>23</v>
      </c>
      <c r="C515" t="s">
        <v>21</v>
      </c>
      <c r="D515">
        <v>1764.21</v>
      </c>
      <c r="E515">
        <v>2010.16</v>
      </c>
      <c r="F515">
        <v>-245.95</v>
      </c>
      <c r="G515" t="s">
        <v>22</v>
      </c>
      <c r="H515">
        <f t="shared" si="8"/>
        <v>6</v>
      </c>
    </row>
    <row r="516" spans="1:8">
      <c r="A516" s="1">
        <v>46156</v>
      </c>
      <c r="B516" t="s">
        <v>23</v>
      </c>
      <c r="C516" t="s">
        <v>30</v>
      </c>
      <c r="D516">
        <v>2459.81</v>
      </c>
      <c r="E516">
        <v>1811.22</v>
      </c>
      <c r="F516">
        <v>648.59</v>
      </c>
      <c r="G516" t="s">
        <v>33</v>
      </c>
      <c r="H516">
        <f t="shared" si="8"/>
        <v>20</v>
      </c>
    </row>
    <row r="517" spans="1:8">
      <c r="A517" s="1">
        <v>46188</v>
      </c>
      <c r="B517" t="s">
        <v>20</v>
      </c>
      <c r="C517" t="s">
        <v>31</v>
      </c>
      <c r="D517">
        <v>490.26</v>
      </c>
      <c r="E517">
        <v>435.43</v>
      </c>
      <c r="F517">
        <v>54.83</v>
      </c>
      <c r="G517" t="s">
        <v>22</v>
      </c>
      <c r="H517">
        <f t="shared" si="8"/>
        <v>25</v>
      </c>
    </row>
    <row r="518" spans="1:8">
      <c r="A518" s="1">
        <v>46139</v>
      </c>
      <c r="B518" t="s">
        <v>20</v>
      </c>
      <c r="C518" t="s">
        <v>26</v>
      </c>
      <c r="D518">
        <v>1738.69</v>
      </c>
      <c r="E518">
        <v>2037.07</v>
      </c>
      <c r="F518">
        <v>-298.38</v>
      </c>
      <c r="G518" t="s">
        <v>22</v>
      </c>
      <c r="H518">
        <f t="shared" si="8"/>
        <v>18</v>
      </c>
    </row>
    <row r="519" spans="1:8">
      <c r="A519" s="1">
        <v>46142</v>
      </c>
      <c r="B519" t="s">
        <v>20</v>
      </c>
      <c r="C519" t="s">
        <v>21</v>
      </c>
      <c r="D519">
        <v>997.27</v>
      </c>
      <c r="E519">
        <v>1620.58</v>
      </c>
      <c r="F519">
        <v>-623.30999999999995</v>
      </c>
      <c r="G519" t="s">
        <v>22</v>
      </c>
      <c r="H519">
        <f t="shared" si="8"/>
        <v>18</v>
      </c>
    </row>
    <row r="520" spans="1:8">
      <c r="A520" s="1">
        <v>46182</v>
      </c>
      <c r="B520" t="s">
        <v>20</v>
      </c>
      <c r="C520" t="s">
        <v>29</v>
      </c>
      <c r="D520">
        <v>1403.18</v>
      </c>
      <c r="E520">
        <v>1353.36</v>
      </c>
      <c r="F520">
        <v>49.82</v>
      </c>
      <c r="G520" t="s">
        <v>22</v>
      </c>
      <c r="H520">
        <f t="shared" si="8"/>
        <v>24</v>
      </c>
    </row>
    <row r="521" spans="1:8">
      <c r="A521" s="1">
        <v>46136</v>
      </c>
      <c r="B521" t="s">
        <v>23</v>
      </c>
      <c r="C521" t="s">
        <v>28</v>
      </c>
      <c r="D521">
        <v>781.27</v>
      </c>
      <c r="E521">
        <v>1574.17</v>
      </c>
      <c r="F521">
        <v>-792.9</v>
      </c>
      <c r="G521" t="s">
        <v>22</v>
      </c>
      <c r="H521">
        <f t="shared" si="8"/>
        <v>17</v>
      </c>
    </row>
    <row r="522" spans="1:8">
      <c r="A522" s="1">
        <v>46183</v>
      </c>
      <c r="B522" t="s">
        <v>23</v>
      </c>
      <c r="C522" t="s">
        <v>26</v>
      </c>
      <c r="D522">
        <v>649.04</v>
      </c>
      <c r="E522">
        <v>2220.7600000000002</v>
      </c>
      <c r="F522">
        <v>-1571.72</v>
      </c>
      <c r="G522" t="s">
        <v>22</v>
      </c>
      <c r="H522">
        <f t="shared" si="8"/>
        <v>24</v>
      </c>
    </row>
    <row r="523" spans="1:8">
      <c r="A523" s="1">
        <v>46196</v>
      </c>
      <c r="B523" t="s">
        <v>23</v>
      </c>
      <c r="C523" t="s">
        <v>24</v>
      </c>
      <c r="D523">
        <v>408.05</v>
      </c>
      <c r="E523">
        <v>441.12</v>
      </c>
      <c r="F523">
        <v>-33.07</v>
      </c>
      <c r="G523" t="s">
        <v>22</v>
      </c>
      <c r="H523">
        <f t="shared" si="8"/>
        <v>26</v>
      </c>
    </row>
    <row r="524" spans="1:8">
      <c r="A524" s="1">
        <v>46118</v>
      </c>
      <c r="B524" t="s">
        <v>20</v>
      </c>
      <c r="C524" t="s">
        <v>27</v>
      </c>
      <c r="D524">
        <v>1817.69</v>
      </c>
      <c r="E524">
        <v>508.93</v>
      </c>
      <c r="F524">
        <v>1308.76</v>
      </c>
      <c r="G524" t="s">
        <v>22</v>
      </c>
      <c r="H524">
        <f t="shared" si="8"/>
        <v>15</v>
      </c>
    </row>
    <row r="525" spans="1:8">
      <c r="A525" s="1">
        <v>46080</v>
      </c>
      <c r="B525" t="s">
        <v>20</v>
      </c>
      <c r="C525" t="s">
        <v>28</v>
      </c>
      <c r="D525">
        <v>1422.83</v>
      </c>
      <c r="E525">
        <v>1539.42</v>
      </c>
      <c r="F525">
        <v>-116.59</v>
      </c>
      <c r="G525" t="s">
        <v>22</v>
      </c>
      <c r="H525">
        <f t="shared" si="8"/>
        <v>9</v>
      </c>
    </row>
    <row r="526" spans="1:8">
      <c r="A526" s="1">
        <v>46142</v>
      </c>
      <c r="B526" t="s">
        <v>23</v>
      </c>
      <c r="C526" t="s">
        <v>28</v>
      </c>
      <c r="D526">
        <v>757.33</v>
      </c>
      <c r="E526">
        <v>1972.85</v>
      </c>
      <c r="F526">
        <v>-1215.52</v>
      </c>
      <c r="G526" t="s">
        <v>22</v>
      </c>
      <c r="H526">
        <f t="shared" si="8"/>
        <v>18</v>
      </c>
    </row>
    <row r="527" spans="1:8">
      <c r="A527" s="1">
        <v>46031</v>
      </c>
      <c r="B527" t="s">
        <v>20</v>
      </c>
      <c r="C527" t="s">
        <v>24</v>
      </c>
      <c r="D527">
        <v>693.37</v>
      </c>
      <c r="E527">
        <v>1938.49</v>
      </c>
      <c r="F527">
        <v>-1245.1199999999999</v>
      </c>
      <c r="G527" t="s">
        <v>22</v>
      </c>
      <c r="H527">
        <f t="shared" si="8"/>
        <v>2</v>
      </c>
    </row>
    <row r="528" spans="1:8">
      <c r="A528" s="1">
        <v>46036</v>
      </c>
      <c r="B528" t="s">
        <v>20</v>
      </c>
      <c r="C528" t="s">
        <v>26</v>
      </c>
      <c r="D528">
        <v>270.2</v>
      </c>
      <c r="E528">
        <v>926.89</v>
      </c>
      <c r="F528">
        <v>-656.69</v>
      </c>
      <c r="G528" t="s">
        <v>22</v>
      </c>
      <c r="H528">
        <f t="shared" si="8"/>
        <v>3</v>
      </c>
    </row>
    <row r="529" spans="1:8">
      <c r="A529" s="1">
        <v>46202</v>
      </c>
      <c r="B529" t="s">
        <v>23</v>
      </c>
      <c r="C529" t="s">
        <v>27</v>
      </c>
      <c r="D529">
        <v>1959.05</v>
      </c>
      <c r="E529">
        <v>483.34</v>
      </c>
      <c r="F529">
        <v>1475.71</v>
      </c>
      <c r="G529" t="s">
        <v>22</v>
      </c>
      <c r="H529">
        <f t="shared" si="8"/>
        <v>27</v>
      </c>
    </row>
    <row r="530" spans="1:8">
      <c r="A530" s="1">
        <v>46084</v>
      </c>
      <c r="B530" t="s">
        <v>20</v>
      </c>
      <c r="C530" t="s">
        <v>21</v>
      </c>
      <c r="D530">
        <v>1533.41</v>
      </c>
      <c r="E530">
        <v>1116.53</v>
      </c>
      <c r="F530">
        <v>416.88</v>
      </c>
      <c r="G530" t="s">
        <v>22</v>
      </c>
      <c r="H530">
        <f t="shared" si="8"/>
        <v>10</v>
      </c>
    </row>
    <row r="531" spans="1:8">
      <c r="A531" s="1">
        <v>46127</v>
      </c>
      <c r="B531" t="s">
        <v>23</v>
      </c>
      <c r="C531" t="s">
        <v>27</v>
      </c>
      <c r="D531">
        <v>509.68</v>
      </c>
      <c r="E531">
        <v>1406.87</v>
      </c>
      <c r="F531">
        <v>-897.19</v>
      </c>
      <c r="G531" t="s">
        <v>22</v>
      </c>
      <c r="H531">
        <f t="shared" si="8"/>
        <v>16</v>
      </c>
    </row>
    <row r="532" spans="1:8">
      <c r="A532" s="1">
        <v>46136</v>
      </c>
      <c r="B532" t="s">
        <v>20</v>
      </c>
      <c r="C532" t="s">
        <v>30</v>
      </c>
      <c r="D532">
        <v>1937.8</v>
      </c>
      <c r="E532">
        <v>1439.98</v>
      </c>
      <c r="F532">
        <v>497.82</v>
      </c>
      <c r="G532" t="s">
        <v>22</v>
      </c>
      <c r="H532">
        <f t="shared" si="8"/>
        <v>17</v>
      </c>
    </row>
    <row r="533" spans="1:8">
      <c r="A533" s="1">
        <v>46043</v>
      </c>
      <c r="B533" t="s">
        <v>23</v>
      </c>
      <c r="C533" t="s">
        <v>28</v>
      </c>
      <c r="D533">
        <v>1118.0999999999999</v>
      </c>
      <c r="E533">
        <v>292.94</v>
      </c>
      <c r="F533">
        <v>825.16</v>
      </c>
      <c r="G533" t="s">
        <v>22</v>
      </c>
      <c r="H533">
        <f t="shared" si="8"/>
        <v>4</v>
      </c>
    </row>
    <row r="534" spans="1:8">
      <c r="A534" s="1">
        <v>46139</v>
      </c>
      <c r="B534" t="s">
        <v>20</v>
      </c>
      <c r="C534" t="s">
        <v>21</v>
      </c>
      <c r="D534">
        <v>793.07</v>
      </c>
      <c r="E534">
        <v>460.43</v>
      </c>
      <c r="F534">
        <v>332.64</v>
      </c>
      <c r="G534" t="s">
        <v>22</v>
      </c>
      <c r="H534">
        <f t="shared" si="8"/>
        <v>18</v>
      </c>
    </row>
    <row r="535" spans="1:8">
      <c r="A535" s="1">
        <v>46086</v>
      </c>
      <c r="B535" t="s">
        <v>20</v>
      </c>
      <c r="C535" t="s">
        <v>31</v>
      </c>
      <c r="D535">
        <v>1524.5</v>
      </c>
      <c r="E535">
        <v>1673.44</v>
      </c>
      <c r="F535">
        <v>-148.94</v>
      </c>
      <c r="G535" t="s">
        <v>22</v>
      </c>
      <c r="H535">
        <f t="shared" si="8"/>
        <v>10</v>
      </c>
    </row>
    <row r="536" spans="1:8">
      <c r="A536" s="1">
        <v>46170</v>
      </c>
      <c r="B536" t="s">
        <v>20</v>
      </c>
      <c r="C536" t="s">
        <v>28</v>
      </c>
      <c r="D536">
        <v>1608.94</v>
      </c>
      <c r="E536">
        <v>1449.5</v>
      </c>
      <c r="F536">
        <v>159.44</v>
      </c>
      <c r="G536" t="s">
        <v>22</v>
      </c>
      <c r="H536">
        <f t="shared" si="8"/>
        <v>22</v>
      </c>
    </row>
    <row r="537" spans="1:8">
      <c r="A537" s="1">
        <v>46069</v>
      </c>
      <c r="B537" t="s">
        <v>20</v>
      </c>
      <c r="C537" t="s">
        <v>21</v>
      </c>
      <c r="D537">
        <v>231.71</v>
      </c>
      <c r="E537">
        <v>1035.6600000000001</v>
      </c>
      <c r="F537">
        <v>-803.95</v>
      </c>
      <c r="G537" t="s">
        <v>22</v>
      </c>
      <c r="H537">
        <f t="shared" si="8"/>
        <v>8</v>
      </c>
    </row>
    <row r="538" spans="1:8">
      <c r="A538" s="1">
        <v>46072</v>
      </c>
      <c r="B538" t="s">
        <v>23</v>
      </c>
      <c r="C538" t="s">
        <v>26</v>
      </c>
      <c r="D538">
        <v>1197.18</v>
      </c>
      <c r="E538">
        <v>1358</v>
      </c>
      <c r="F538">
        <v>-160.82</v>
      </c>
      <c r="G538" t="s">
        <v>22</v>
      </c>
      <c r="H538">
        <f t="shared" si="8"/>
        <v>8</v>
      </c>
    </row>
    <row r="539" spans="1:8">
      <c r="A539" s="1">
        <v>46136</v>
      </c>
      <c r="B539" t="s">
        <v>20</v>
      </c>
      <c r="C539" t="s">
        <v>27</v>
      </c>
      <c r="D539">
        <v>780.74</v>
      </c>
      <c r="E539">
        <v>1992.47</v>
      </c>
      <c r="F539">
        <v>-1211.73</v>
      </c>
      <c r="G539" t="s">
        <v>22</v>
      </c>
      <c r="H539">
        <f t="shared" si="8"/>
        <v>17</v>
      </c>
    </row>
    <row r="540" spans="1:8">
      <c r="A540" s="1">
        <v>46027</v>
      </c>
      <c r="B540" t="s">
        <v>23</v>
      </c>
      <c r="C540" t="s">
        <v>32</v>
      </c>
      <c r="D540">
        <v>1309.42</v>
      </c>
      <c r="E540">
        <v>847.87</v>
      </c>
      <c r="F540">
        <v>461.55</v>
      </c>
      <c r="G540" t="s">
        <v>22</v>
      </c>
      <c r="H540">
        <f t="shared" si="8"/>
        <v>2</v>
      </c>
    </row>
    <row r="541" spans="1:8">
      <c r="A541" s="1">
        <v>46062</v>
      </c>
      <c r="B541" t="s">
        <v>23</v>
      </c>
      <c r="C541" t="s">
        <v>21</v>
      </c>
      <c r="D541">
        <v>1793.5</v>
      </c>
      <c r="E541">
        <v>1085.6500000000001</v>
      </c>
      <c r="F541">
        <v>707.85</v>
      </c>
      <c r="G541" t="s">
        <v>22</v>
      </c>
      <c r="H541">
        <f t="shared" si="8"/>
        <v>7</v>
      </c>
    </row>
    <row r="542" spans="1:8">
      <c r="A542" s="1">
        <v>46133</v>
      </c>
      <c r="B542" t="s">
        <v>23</v>
      </c>
      <c r="C542" t="s">
        <v>26</v>
      </c>
      <c r="D542">
        <v>1387.75</v>
      </c>
      <c r="E542">
        <v>2317.61</v>
      </c>
      <c r="F542">
        <v>-929.86</v>
      </c>
      <c r="G542" t="s">
        <v>22</v>
      </c>
      <c r="H542">
        <f t="shared" si="8"/>
        <v>17</v>
      </c>
    </row>
    <row r="543" spans="1:8">
      <c r="A543" s="1">
        <v>46087</v>
      </c>
      <c r="B543" t="s">
        <v>20</v>
      </c>
      <c r="C543" t="s">
        <v>29</v>
      </c>
      <c r="D543">
        <v>2140.7399999999998</v>
      </c>
      <c r="E543">
        <v>253.69</v>
      </c>
      <c r="F543">
        <v>1887.05</v>
      </c>
      <c r="G543" t="s">
        <v>22</v>
      </c>
      <c r="H543">
        <f t="shared" si="8"/>
        <v>10</v>
      </c>
    </row>
    <row r="544" spans="1:8">
      <c r="A544" s="1">
        <v>46027</v>
      </c>
      <c r="B544" t="s">
        <v>20</v>
      </c>
      <c r="C544" t="s">
        <v>29</v>
      </c>
      <c r="D544">
        <v>719.85</v>
      </c>
      <c r="E544">
        <v>1453.15</v>
      </c>
      <c r="F544">
        <v>-733.3</v>
      </c>
      <c r="G544" t="s">
        <v>22</v>
      </c>
      <c r="H544">
        <f t="shared" si="8"/>
        <v>2</v>
      </c>
    </row>
    <row r="545" spans="1:8">
      <c r="A545" s="1">
        <v>46178</v>
      </c>
      <c r="B545" t="s">
        <v>20</v>
      </c>
      <c r="C545" t="s">
        <v>24</v>
      </c>
      <c r="D545">
        <v>2078.39</v>
      </c>
      <c r="E545">
        <v>440.43</v>
      </c>
      <c r="F545">
        <v>1637.96</v>
      </c>
      <c r="G545" t="s">
        <v>22</v>
      </c>
      <c r="H545">
        <f t="shared" si="8"/>
        <v>23</v>
      </c>
    </row>
    <row r="546" spans="1:8">
      <c r="A546" s="1">
        <v>46063</v>
      </c>
      <c r="B546" t="s">
        <v>23</v>
      </c>
      <c r="C546" t="s">
        <v>28</v>
      </c>
      <c r="D546">
        <v>630.66</v>
      </c>
      <c r="E546">
        <v>233.96</v>
      </c>
      <c r="F546">
        <v>396.7</v>
      </c>
      <c r="G546" t="s">
        <v>22</v>
      </c>
      <c r="H546">
        <f t="shared" si="8"/>
        <v>7</v>
      </c>
    </row>
    <row r="547" spans="1:8">
      <c r="A547" s="1">
        <v>46134</v>
      </c>
      <c r="B547" t="s">
        <v>20</v>
      </c>
      <c r="C547" t="s">
        <v>25</v>
      </c>
      <c r="D547">
        <v>976.67</v>
      </c>
      <c r="E547">
        <v>242.75</v>
      </c>
      <c r="F547">
        <v>733.92</v>
      </c>
      <c r="G547" t="s">
        <v>22</v>
      </c>
      <c r="H547">
        <f t="shared" si="8"/>
        <v>17</v>
      </c>
    </row>
    <row r="548" spans="1:8">
      <c r="A548" s="1">
        <v>46188</v>
      </c>
      <c r="B548" t="s">
        <v>23</v>
      </c>
      <c r="C548" t="s">
        <v>32</v>
      </c>
      <c r="D548">
        <v>1434.6</v>
      </c>
      <c r="E548">
        <v>2360.37</v>
      </c>
      <c r="F548">
        <v>-925.77</v>
      </c>
      <c r="G548" t="s">
        <v>22</v>
      </c>
      <c r="H548">
        <f t="shared" si="8"/>
        <v>25</v>
      </c>
    </row>
    <row r="549" spans="1:8">
      <c r="A549" s="1">
        <v>46191</v>
      </c>
      <c r="B549" t="s">
        <v>23</v>
      </c>
      <c r="C549" t="s">
        <v>27</v>
      </c>
      <c r="D549">
        <v>2245.81</v>
      </c>
      <c r="E549">
        <v>2091.9299999999998</v>
      </c>
      <c r="F549">
        <v>153.88</v>
      </c>
      <c r="G549" t="s">
        <v>22</v>
      </c>
      <c r="H549">
        <f t="shared" si="8"/>
        <v>25</v>
      </c>
    </row>
    <row r="550" spans="1:8">
      <c r="A550" s="1">
        <v>46189</v>
      </c>
      <c r="B550" t="s">
        <v>23</v>
      </c>
      <c r="C550" t="s">
        <v>24</v>
      </c>
      <c r="D550">
        <v>1720.71</v>
      </c>
      <c r="E550">
        <v>2312.3000000000002</v>
      </c>
      <c r="F550">
        <v>-591.59</v>
      </c>
      <c r="G550" t="s">
        <v>22</v>
      </c>
      <c r="H550">
        <f t="shared" si="8"/>
        <v>25</v>
      </c>
    </row>
    <row r="551" spans="1:8">
      <c r="A551" s="1">
        <v>46121</v>
      </c>
      <c r="B551" t="s">
        <v>20</v>
      </c>
      <c r="C551" t="s">
        <v>32</v>
      </c>
      <c r="D551">
        <v>1048.25</v>
      </c>
      <c r="E551">
        <v>408.77</v>
      </c>
      <c r="F551">
        <v>639.48</v>
      </c>
      <c r="G551" t="s">
        <v>22</v>
      </c>
      <c r="H551">
        <f t="shared" si="8"/>
        <v>15</v>
      </c>
    </row>
    <row r="552" spans="1:8">
      <c r="A552" s="1">
        <v>46136</v>
      </c>
      <c r="B552" t="s">
        <v>23</v>
      </c>
      <c r="C552" t="s">
        <v>25</v>
      </c>
      <c r="D552">
        <v>1112.46</v>
      </c>
      <c r="E552">
        <v>2171.9899999999998</v>
      </c>
      <c r="F552">
        <v>-1059.53</v>
      </c>
      <c r="G552" t="s">
        <v>22</v>
      </c>
      <c r="H552">
        <f t="shared" si="8"/>
        <v>17</v>
      </c>
    </row>
    <row r="553" spans="1:8">
      <c r="A553" s="1">
        <v>46155</v>
      </c>
      <c r="B553" t="s">
        <v>23</v>
      </c>
      <c r="C553" t="s">
        <v>25</v>
      </c>
      <c r="D553">
        <v>2399.35</v>
      </c>
      <c r="E553">
        <v>1582.66</v>
      </c>
      <c r="F553">
        <v>816.69</v>
      </c>
      <c r="G553" t="s">
        <v>22</v>
      </c>
      <c r="H553">
        <f t="shared" si="8"/>
        <v>20</v>
      </c>
    </row>
    <row r="554" spans="1:8">
      <c r="A554" s="1">
        <v>46111</v>
      </c>
      <c r="B554" t="s">
        <v>20</v>
      </c>
      <c r="C554" t="s">
        <v>31</v>
      </c>
      <c r="D554">
        <v>1389.56</v>
      </c>
      <c r="E554">
        <v>1939.65</v>
      </c>
      <c r="F554">
        <v>-550.09</v>
      </c>
      <c r="G554" t="s">
        <v>22</v>
      </c>
      <c r="H554">
        <f t="shared" si="8"/>
        <v>14</v>
      </c>
    </row>
    <row r="555" spans="1:8">
      <c r="A555" s="1">
        <v>46112</v>
      </c>
      <c r="B555" t="s">
        <v>20</v>
      </c>
      <c r="C555" t="s">
        <v>24</v>
      </c>
      <c r="D555">
        <v>2057.4699999999998</v>
      </c>
      <c r="E555">
        <v>1000.54</v>
      </c>
      <c r="F555">
        <v>1056.93</v>
      </c>
      <c r="G555" t="s">
        <v>22</v>
      </c>
      <c r="H555">
        <f t="shared" si="8"/>
        <v>14</v>
      </c>
    </row>
    <row r="556" spans="1:8">
      <c r="A556" s="1">
        <v>46050</v>
      </c>
      <c r="B556" t="s">
        <v>20</v>
      </c>
      <c r="C556" t="s">
        <v>30</v>
      </c>
      <c r="D556">
        <v>1725.4</v>
      </c>
      <c r="E556">
        <v>1083.5999999999999</v>
      </c>
      <c r="F556">
        <v>641.79999999999995</v>
      </c>
      <c r="G556" t="s">
        <v>22</v>
      </c>
      <c r="H556">
        <f t="shared" si="8"/>
        <v>5</v>
      </c>
    </row>
    <row r="557" spans="1:8">
      <c r="A557" s="1">
        <v>46041</v>
      </c>
      <c r="B557" t="s">
        <v>23</v>
      </c>
      <c r="C557" t="s">
        <v>30</v>
      </c>
      <c r="D557">
        <v>321.92</v>
      </c>
      <c r="E557">
        <v>1722.28</v>
      </c>
      <c r="F557">
        <v>-1400.36</v>
      </c>
      <c r="G557" t="s">
        <v>22</v>
      </c>
      <c r="H557">
        <f t="shared" si="8"/>
        <v>4</v>
      </c>
    </row>
    <row r="558" spans="1:8">
      <c r="A558" s="1">
        <v>46122</v>
      </c>
      <c r="B558" t="s">
        <v>23</v>
      </c>
      <c r="C558" t="s">
        <v>24</v>
      </c>
      <c r="D558">
        <v>2567.7800000000002</v>
      </c>
      <c r="E558">
        <v>1802.82</v>
      </c>
      <c r="F558">
        <v>764.96</v>
      </c>
      <c r="G558" t="s">
        <v>22</v>
      </c>
      <c r="H558">
        <f t="shared" si="8"/>
        <v>15</v>
      </c>
    </row>
    <row r="559" spans="1:8">
      <c r="A559" s="1">
        <v>46177</v>
      </c>
      <c r="B559" t="s">
        <v>23</v>
      </c>
      <c r="C559" t="s">
        <v>26</v>
      </c>
      <c r="D559">
        <v>1311.35</v>
      </c>
      <c r="E559">
        <v>1830.93</v>
      </c>
      <c r="F559">
        <v>-519.58000000000004</v>
      </c>
      <c r="G559" t="s">
        <v>22</v>
      </c>
      <c r="H559">
        <f t="shared" si="8"/>
        <v>23</v>
      </c>
    </row>
    <row r="560" spans="1:8">
      <c r="A560" s="1">
        <v>46057</v>
      </c>
      <c r="B560" t="s">
        <v>23</v>
      </c>
      <c r="C560" t="s">
        <v>32</v>
      </c>
      <c r="D560">
        <v>459.44</v>
      </c>
      <c r="E560">
        <v>261.63</v>
      </c>
      <c r="F560">
        <v>197.81</v>
      </c>
      <c r="G560" t="s">
        <v>22</v>
      </c>
      <c r="H560">
        <f t="shared" si="8"/>
        <v>6</v>
      </c>
    </row>
    <row r="561" spans="1:8">
      <c r="A561" s="1">
        <v>46065</v>
      </c>
      <c r="B561" t="s">
        <v>20</v>
      </c>
      <c r="C561" t="s">
        <v>31</v>
      </c>
      <c r="D561">
        <v>2012.43</v>
      </c>
      <c r="E561">
        <v>759.57</v>
      </c>
      <c r="F561">
        <v>1252.8599999999999</v>
      </c>
      <c r="G561" t="s">
        <v>22</v>
      </c>
      <c r="H561">
        <f t="shared" si="8"/>
        <v>7</v>
      </c>
    </row>
    <row r="562" spans="1:8">
      <c r="A562" s="1">
        <v>46197</v>
      </c>
      <c r="B562" t="s">
        <v>23</v>
      </c>
      <c r="C562" t="s">
        <v>27</v>
      </c>
      <c r="D562">
        <v>778.6</v>
      </c>
      <c r="E562">
        <v>1731.4</v>
      </c>
      <c r="F562">
        <v>-952.8</v>
      </c>
      <c r="G562" t="s">
        <v>22</v>
      </c>
      <c r="H562">
        <f t="shared" si="8"/>
        <v>26</v>
      </c>
    </row>
    <row r="563" spans="1:8">
      <c r="A563" s="1">
        <v>46114</v>
      </c>
      <c r="B563" t="s">
        <v>23</v>
      </c>
      <c r="C563" t="s">
        <v>31</v>
      </c>
      <c r="D563">
        <v>1128.52</v>
      </c>
      <c r="E563">
        <v>1095.93</v>
      </c>
      <c r="F563">
        <v>32.590000000000003</v>
      </c>
      <c r="G563" t="s">
        <v>22</v>
      </c>
      <c r="H563">
        <f t="shared" si="8"/>
        <v>14</v>
      </c>
    </row>
    <row r="564" spans="1:8">
      <c r="A564" s="1">
        <v>46023</v>
      </c>
      <c r="B564" t="s">
        <v>23</v>
      </c>
      <c r="C564" t="s">
        <v>21</v>
      </c>
      <c r="D564">
        <v>677.21</v>
      </c>
      <c r="E564">
        <v>1759.72</v>
      </c>
      <c r="F564">
        <v>-1082.51</v>
      </c>
      <c r="G564" t="s">
        <v>22</v>
      </c>
      <c r="H564">
        <f t="shared" si="8"/>
        <v>1</v>
      </c>
    </row>
    <row r="565" spans="1:8">
      <c r="A565" s="1">
        <v>46175</v>
      </c>
      <c r="B565" t="s">
        <v>23</v>
      </c>
      <c r="C565" t="s">
        <v>21</v>
      </c>
      <c r="D565">
        <v>365.98</v>
      </c>
      <c r="E565">
        <v>2234.69</v>
      </c>
      <c r="F565">
        <v>-1868.71</v>
      </c>
      <c r="G565" t="s">
        <v>22</v>
      </c>
      <c r="H565">
        <f t="shared" si="8"/>
        <v>23</v>
      </c>
    </row>
    <row r="566" spans="1:8">
      <c r="A566" s="1">
        <v>46086</v>
      </c>
      <c r="B566" t="s">
        <v>20</v>
      </c>
      <c r="C566" t="s">
        <v>21</v>
      </c>
      <c r="D566">
        <v>2089.25</v>
      </c>
      <c r="E566">
        <v>1009.21</v>
      </c>
      <c r="F566">
        <v>1080.04</v>
      </c>
      <c r="G566" t="s">
        <v>22</v>
      </c>
      <c r="H566">
        <f t="shared" si="8"/>
        <v>10</v>
      </c>
    </row>
    <row r="567" spans="1:8">
      <c r="A567" s="1">
        <v>46170</v>
      </c>
      <c r="B567" t="s">
        <v>23</v>
      </c>
      <c r="C567" t="s">
        <v>28</v>
      </c>
      <c r="D567">
        <v>1179.31</v>
      </c>
      <c r="E567">
        <v>263.02999999999997</v>
      </c>
      <c r="F567">
        <v>916.28</v>
      </c>
      <c r="G567" t="s">
        <v>22</v>
      </c>
      <c r="H567">
        <f t="shared" si="8"/>
        <v>22</v>
      </c>
    </row>
    <row r="568" spans="1:8">
      <c r="A568" s="1">
        <v>46090</v>
      </c>
      <c r="B568" t="s">
        <v>23</v>
      </c>
      <c r="C568" t="s">
        <v>29</v>
      </c>
      <c r="D568">
        <v>461.73</v>
      </c>
      <c r="E568">
        <v>1409.21</v>
      </c>
      <c r="F568">
        <v>-947.48</v>
      </c>
      <c r="G568" t="s">
        <v>22</v>
      </c>
      <c r="H568">
        <f t="shared" si="8"/>
        <v>11</v>
      </c>
    </row>
    <row r="569" spans="1:8">
      <c r="A569" s="1">
        <v>46122</v>
      </c>
      <c r="B569" t="s">
        <v>23</v>
      </c>
      <c r="C569" t="s">
        <v>29</v>
      </c>
      <c r="D569">
        <v>1912.09</v>
      </c>
      <c r="E569">
        <v>2593.4299999999998</v>
      </c>
      <c r="F569">
        <v>-681.34</v>
      </c>
      <c r="G569" t="s">
        <v>22</v>
      </c>
      <c r="H569">
        <f t="shared" si="8"/>
        <v>15</v>
      </c>
    </row>
    <row r="570" spans="1:8">
      <c r="A570" s="1">
        <v>46038</v>
      </c>
      <c r="B570" t="s">
        <v>20</v>
      </c>
      <c r="C570" t="s">
        <v>29</v>
      </c>
      <c r="D570">
        <v>1955.77</v>
      </c>
      <c r="E570">
        <v>1952.5</v>
      </c>
      <c r="F570">
        <v>3.27</v>
      </c>
      <c r="G570" t="s">
        <v>22</v>
      </c>
      <c r="H570">
        <f t="shared" si="8"/>
        <v>3</v>
      </c>
    </row>
    <row r="571" spans="1:8">
      <c r="A571" s="1">
        <v>46059</v>
      </c>
      <c r="B571" t="s">
        <v>20</v>
      </c>
      <c r="C571" t="s">
        <v>26</v>
      </c>
      <c r="D571">
        <v>810.72</v>
      </c>
      <c r="E571">
        <v>653.27</v>
      </c>
      <c r="F571">
        <v>157.44999999999999</v>
      </c>
      <c r="G571" t="s">
        <v>22</v>
      </c>
      <c r="H571">
        <f t="shared" si="8"/>
        <v>6</v>
      </c>
    </row>
    <row r="572" spans="1:8">
      <c r="A572" s="1">
        <v>46086</v>
      </c>
      <c r="B572" t="s">
        <v>23</v>
      </c>
      <c r="C572" t="s">
        <v>26</v>
      </c>
      <c r="D572">
        <v>1264.1199999999999</v>
      </c>
      <c r="E572">
        <v>2481.33</v>
      </c>
      <c r="F572">
        <v>-1217.21</v>
      </c>
      <c r="G572" t="s">
        <v>22</v>
      </c>
      <c r="H572">
        <f t="shared" si="8"/>
        <v>10</v>
      </c>
    </row>
    <row r="573" spans="1:8">
      <c r="A573" s="1">
        <v>46052</v>
      </c>
      <c r="B573" t="s">
        <v>20</v>
      </c>
      <c r="C573" t="s">
        <v>29</v>
      </c>
      <c r="D573">
        <v>1257.31</v>
      </c>
      <c r="E573">
        <v>433.67</v>
      </c>
      <c r="F573">
        <v>823.64</v>
      </c>
      <c r="G573" t="s">
        <v>22</v>
      </c>
      <c r="H573">
        <f t="shared" si="8"/>
        <v>5</v>
      </c>
    </row>
    <row r="574" spans="1:8">
      <c r="A574" s="1">
        <v>46118</v>
      </c>
      <c r="B574" t="s">
        <v>23</v>
      </c>
      <c r="C574" t="s">
        <v>32</v>
      </c>
      <c r="D574">
        <v>2062.86</v>
      </c>
      <c r="E574">
        <v>1298.43</v>
      </c>
      <c r="F574">
        <v>764.43</v>
      </c>
      <c r="G574" t="s">
        <v>22</v>
      </c>
      <c r="H574">
        <f t="shared" si="8"/>
        <v>15</v>
      </c>
    </row>
    <row r="575" spans="1:8">
      <c r="A575" s="1">
        <v>46141</v>
      </c>
      <c r="B575" t="s">
        <v>20</v>
      </c>
      <c r="C575" t="s">
        <v>24</v>
      </c>
      <c r="D575">
        <v>739.64</v>
      </c>
      <c r="E575">
        <v>1613.99</v>
      </c>
      <c r="F575">
        <v>-874.35</v>
      </c>
      <c r="G575" t="s">
        <v>22</v>
      </c>
      <c r="H575">
        <f t="shared" si="8"/>
        <v>18</v>
      </c>
    </row>
    <row r="576" spans="1:8">
      <c r="A576" s="1">
        <v>46167</v>
      </c>
      <c r="B576" t="s">
        <v>20</v>
      </c>
      <c r="C576" t="s">
        <v>29</v>
      </c>
      <c r="D576">
        <v>829.1</v>
      </c>
      <c r="E576">
        <v>2153.52</v>
      </c>
      <c r="F576">
        <v>-1324.42</v>
      </c>
      <c r="G576" t="s">
        <v>22</v>
      </c>
      <c r="H576">
        <f t="shared" si="8"/>
        <v>22</v>
      </c>
    </row>
    <row r="577" spans="1:8">
      <c r="A577" s="1">
        <v>46092</v>
      </c>
      <c r="B577" t="s">
        <v>20</v>
      </c>
      <c r="C577" t="s">
        <v>24</v>
      </c>
      <c r="D577">
        <v>1280.24</v>
      </c>
      <c r="E577">
        <v>1924.26</v>
      </c>
      <c r="F577">
        <v>-644.02</v>
      </c>
      <c r="G577" t="s">
        <v>22</v>
      </c>
      <c r="H577">
        <f t="shared" si="8"/>
        <v>11</v>
      </c>
    </row>
    <row r="578" spans="1:8">
      <c r="A578" s="1">
        <v>46175</v>
      </c>
      <c r="B578" t="s">
        <v>23</v>
      </c>
      <c r="C578" t="s">
        <v>31</v>
      </c>
      <c r="D578">
        <v>2108.11</v>
      </c>
      <c r="E578">
        <v>1815.15</v>
      </c>
      <c r="F578">
        <v>292.95999999999998</v>
      </c>
      <c r="G578" t="s">
        <v>22</v>
      </c>
      <c r="H578">
        <f t="shared" ref="H578:H641" si="9">WEEKNUM(A578,2)</f>
        <v>23</v>
      </c>
    </row>
    <row r="579" spans="1:8">
      <c r="A579" s="1">
        <v>46051</v>
      </c>
      <c r="B579" t="s">
        <v>20</v>
      </c>
      <c r="C579" t="s">
        <v>24</v>
      </c>
      <c r="D579">
        <v>1698.26</v>
      </c>
      <c r="E579">
        <v>1057.28</v>
      </c>
      <c r="F579">
        <v>640.98</v>
      </c>
      <c r="G579" t="s">
        <v>22</v>
      </c>
      <c r="H579">
        <f t="shared" si="9"/>
        <v>5</v>
      </c>
    </row>
    <row r="580" spans="1:8">
      <c r="A580" s="1">
        <v>46055</v>
      </c>
      <c r="B580" t="s">
        <v>20</v>
      </c>
      <c r="C580" t="s">
        <v>27</v>
      </c>
      <c r="D580">
        <v>1863.24</v>
      </c>
      <c r="E580">
        <v>1253.3499999999999</v>
      </c>
      <c r="F580">
        <v>609.8900000000001</v>
      </c>
      <c r="G580" t="s">
        <v>22</v>
      </c>
      <c r="H580">
        <f t="shared" si="9"/>
        <v>6</v>
      </c>
    </row>
    <row r="581" spans="1:8">
      <c r="A581" s="1">
        <v>46034</v>
      </c>
      <c r="B581" t="s">
        <v>23</v>
      </c>
      <c r="C581" t="s">
        <v>30</v>
      </c>
      <c r="D581">
        <v>783.19</v>
      </c>
      <c r="E581">
        <v>1335.14</v>
      </c>
      <c r="F581">
        <v>-551.95000000000005</v>
      </c>
      <c r="G581" t="s">
        <v>22</v>
      </c>
      <c r="H581">
        <f t="shared" si="9"/>
        <v>3</v>
      </c>
    </row>
    <row r="582" spans="1:8">
      <c r="A582" s="1">
        <v>46106</v>
      </c>
      <c r="B582" t="s">
        <v>23</v>
      </c>
      <c r="C582" t="s">
        <v>24</v>
      </c>
      <c r="D582">
        <v>1744.38</v>
      </c>
      <c r="E582">
        <v>988.34</v>
      </c>
      <c r="F582">
        <v>756.04000000000008</v>
      </c>
      <c r="G582" t="s">
        <v>22</v>
      </c>
      <c r="H582">
        <f t="shared" si="9"/>
        <v>13</v>
      </c>
    </row>
    <row r="583" spans="1:8">
      <c r="A583" s="1">
        <v>46163</v>
      </c>
      <c r="B583" t="s">
        <v>20</v>
      </c>
      <c r="C583" t="s">
        <v>32</v>
      </c>
      <c r="D583">
        <v>598.38</v>
      </c>
      <c r="E583">
        <v>1084.82</v>
      </c>
      <c r="F583">
        <v>-486.44</v>
      </c>
      <c r="G583" t="s">
        <v>22</v>
      </c>
      <c r="H583">
        <f t="shared" si="9"/>
        <v>21</v>
      </c>
    </row>
    <row r="584" spans="1:8">
      <c r="A584" s="1">
        <v>46133</v>
      </c>
      <c r="B584" t="s">
        <v>23</v>
      </c>
      <c r="C584" t="s">
        <v>24</v>
      </c>
      <c r="D584">
        <v>1046.95</v>
      </c>
      <c r="E584">
        <v>321.3</v>
      </c>
      <c r="F584">
        <v>725.65</v>
      </c>
      <c r="G584" t="s">
        <v>22</v>
      </c>
      <c r="H584">
        <f t="shared" si="9"/>
        <v>17</v>
      </c>
    </row>
    <row r="585" spans="1:8">
      <c r="A585" s="1">
        <v>46100</v>
      </c>
      <c r="B585" t="s">
        <v>20</v>
      </c>
      <c r="C585" t="s">
        <v>32</v>
      </c>
      <c r="D585">
        <v>1045.26</v>
      </c>
      <c r="E585">
        <v>367.02</v>
      </c>
      <c r="F585">
        <v>678.24</v>
      </c>
      <c r="G585" t="s">
        <v>33</v>
      </c>
      <c r="H585">
        <f t="shared" si="9"/>
        <v>12</v>
      </c>
    </row>
    <row r="586" spans="1:8">
      <c r="A586" s="1">
        <v>46045</v>
      </c>
      <c r="B586" t="s">
        <v>23</v>
      </c>
      <c r="C586" t="s">
        <v>26</v>
      </c>
      <c r="D586">
        <v>909.57</v>
      </c>
      <c r="E586">
        <v>505.49</v>
      </c>
      <c r="F586">
        <v>404.08</v>
      </c>
      <c r="G586" t="s">
        <v>22</v>
      </c>
      <c r="H586">
        <f t="shared" si="9"/>
        <v>4</v>
      </c>
    </row>
    <row r="587" spans="1:8">
      <c r="A587" s="1">
        <v>46127</v>
      </c>
      <c r="B587" t="s">
        <v>23</v>
      </c>
      <c r="C587" t="s">
        <v>29</v>
      </c>
      <c r="D587">
        <v>1441.66</v>
      </c>
      <c r="E587">
        <v>508</v>
      </c>
      <c r="F587">
        <v>933.66</v>
      </c>
      <c r="G587" t="s">
        <v>22</v>
      </c>
      <c r="H587">
        <f t="shared" si="9"/>
        <v>16</v>
      </c>
    </row>
    <row r="588" spans="1:8">
      <c r="A588" s="1">
        <v>46063</v>
      </c>
      <c r="B588" t="s">
        <v>20</v>
      </c>
      <c r="C588" t="s">
        <v>28</v>
      </c>
      <c r="D588">
        <v>544.79999999999995</v>
      </c>
      <c r="E588">
        <v>395.09</v>
      </c>
      <c r="F588">
        <v>149.71</v>
      </c>
      <c r="G588" t="s">
        <v>22</v>
      </c>
      <c r="H588">
        <f t="shared" si="9"/>
        <v>7</v>
      </c>
    </row>
    <row r="589" spans="1:8">
      <c r="A589" s="1">
        <v>46120</v>
      </c>
      <c r="B589" t="s">
        <v>23</v>
      </c>
      <c r="C589" t="s">
        <v>27</v>
      </c>
      <c r="D589">
        <v>2288.09</v>
      </c>
      <c r="E589">
        <v>1046.1400000000001</v>
      </c>
      <c r="F589">
        <v>1241.95</v>
      </c>
      <c r="G589" t="s">
        <v>22</v>
      </c>
      <c r="H589">
        <f t="shared" si="9"/>
        <v>15</v>
      </c>
    </row>
    <row r="590" spans="1:8">
      <c r="A590" s="1">
        <v>46037</v>
      </c>
      <c r="B590" t="s">
        <v>20</v>
      </c>
      <c r="C590" t="s">
        <v>32</v>
      </c>
      <c r="D590">
        <v>530.94000000000005</v>
      </c>
      <c r="E590">
        <v>1369.82</v>
      </c>
      <c r="F590">
        <v>-838.88</v>
      </c>
      <c r="G590" t="s">
        <v>22</v>
      </c>
      <c r="H590">
        <f t="shared" si="9"/>
        <v>3</v>
      </c>
    </row>
    <row r="591" spans="1:8">
      <c r="A591" s="1">
        <v>46142</v>
      </c>
      <c r="B591" t="s">
        <v>23</v>
      </c>
      <c r="C591" t="s">
        <v>21</v>
      </c>
      <c r="D591">
        <v>2044.94</v>
      </c>
      <c r="E591">
        <v>1765.52</v>
      </c>
      <c r="F591">
        <v>279.42</v>
      </c>
      <c r="G591" t="s">
        <v>22</v>
      </c>
      <c r="H591">
        <f t="shared" si="9"/>
        <v>18</v>
      </c>
    </row>
    <row r="592" spans="1:8">
      <c r="A592" s="1">
        <v>46154</v>
      </c>
      <c r="B592" t="s">
        <v>20</v>
      </c>
      <c r="C592" t="s">
        <v>32</v>
      </c>
      <c r="D592">
        <v>411.06</v>
      </c>
      <c r="E592">
        <v>2156.38</v>
      </c>
      <c r="F592">
        <v>-1745.32</v>
      </c>
      <c r="G592" t="s">
        <v>22</v>
      </c>
      <c r="H592">
        <f t="shared" si="9"/>
        <v>20</v>
      </c>
    </row>
    <row r="593" spans="1:8">
      <c r="A593" s="1">
        <v>46034</v>
      </c>
      <c r="B593" t="s">
        <v>20</v>
      </c>
      <c r="C593" t="s">
        <v>25</v>
      </c>
      <c r="D593">
        <v>637.91</v>
      </c>
      <c r="E593">
        <v>1521.4</v>
      </c>
      <c r="F593">
        <v>-883.49</v>
      </c>
      <c r="G593" t="s">
        <v>22</v>
      </c>
      <c r="H593">
        <f t="shared" si="9"/>
        <v>3</v>
      </c>
    </row>
    <row r="594" spans="1:8">
      <c r="A594" s="1">
        <v>46120</v>
      </c>
      <c r="B594" t="s">
        <v>20</v>
      </c>
      <c r="C594" t="s">
        <v>28</v>
      </c>
      <c r="D594">
        <v>756.06</v>
      </c>
      <c r="E594">
        <v>1064.1300000000001</v>
      </c>
      <c r="F594">
        <v>-308.07</v>
      </c>
      <c r="G594" t="s">
        <v>22</v>
      </c>
      <c r="H594">
        <f t="shared" si="9"/>
        <v>15</v>
      </c>
    </row>
    <row r="595" spans="1:8">
      <c r="A595" s="1">
        <v>46045</v>
      </c>
      <c r="B595" t="s">
        <v>23</v>
      </c>
      <c r="C595" t="s">
        <v>27</v>
      </c>
      <c r="D595">
        <v>920.77</v>
      </c>
      <c r="E595">
        <v>942.28</v>
      </c>
      <c r="F595">
        <v>-21.51</v>
      </c>
      <c r="G595" t="s">
        <v>22</v>
      </c>
      <c r="H595">
        <f t="shared" si="9"/>
        <v>4</v>
      </c>
    </row>
    <row r="596" spans="1:8">
      <c r="A596" s="1">
        <v>46119</v>
      </c>
      <c r="B596" t="s">
        <v>20</v>
      </c>
      <c r="C596" t="s">
        <v>25</v>
      </c>
      <c r="D596">
        <v>1494.25</v>
      </c>
      <c r="E596">
        <v>710.09</v>
      </c>
      <c r="F596">
        <v>784.16</v>
      </c>
      <c r="G596" t="s">
        <v>22</v>
      </c>
      <c r="H596">
        <f t="shared" si="9"/>
        <v>15</v>
      </c>
    </row>
    <row r="597" spans="1:8">
      <c r="A597" s="1">
        <v>46080</v>
      </c>
      <c r="B597" t="s">
        <v>23</v>
      </c>
      <c r="C597" t="s">
        <v>28</v>
      </c>
      <c r="D597">
        <v>2383.11</v>
      </c>
      <c r="E597">
        <v>984.13</v>
      </c>
      <c r="F597">
        <v>1398.98</v>
      </c>
      <c r="G597" t="s">
        <v>22</v>
      </c>
      <c r="H597">
        <f t="shared" si="9"/>
        <v>9</v>
      </c>
    </row>
    <row r="598" spans="1:8">
      <c r="A598" s="1">
        <v>46146</v>
      </c>
      <c r="B598" t="s">
        <v>20</v>
      </c>
      <c r="C598" t="s">
        <v>25</v>
      </c>
      <c r="D598">
        <v>2122.37</v>
      </c>
      <c r="E598">
        <v>2048.38</v>
      </c>
      <c r="F598">
        <v>73.989999999999995</v>
      </c>
      <c r="G598" t="s">
        <v>22</v>
      </c>
      <c r="H598">
        <f t="shared" si="9"/>
        <v>19</v>
      </c>
    </row>
    <row r="599" spans="1:8">
      <c r="A599" s="1">
        <v>46076</v>
      </c>
      <c r="B599" t="s">
        <v>20</v>
      </c>
      <c r="C599" t="s">
        <v>24</v>
      </c>
      <c r="D599">
        <v>1813.39</v>
      </c>
      <c r="E599">
        <v>941.46</v>
      </c>
      <c r="F599">
        <v>871.93</v>
      </c>
      <c r="G599" t="s">
        <v>22</v>
      </c>
      <c r="H599">
        <f t="shared" si="9"/>
        <v>9</v>
      </c>
    </row>
    <row r="600" spans="1:8">
      <c r="A600" s="1">
        <v>46098</v>
      </c>
      <c r="B600" t="s">
        <v>23</v>
      </c>
      <c r="C600" t="s">
        <v>21</v>
      </c>
      <c r="D600">
        <v>218.45</v>
      </c>
      <c r="E600">
        <v>923.41</v>
      </c>
      <c r="F600">
        <v>-704.96</v>
      </c>
      <c r="G600" t="s">
        <v>22</v>
      </c>
      <c r="H600">
        <f t="shared" si="9"/>
        <v>12</v>
      </c>
    </row>
    <row r="601" spans="1:8">
      <c r="A601" s="1">
        <v>46191</v>
      </c>
      <c r="B601" t="s">
        <v>20</v>
      </c>
      <c r="C601" t="s">
        <v>29</v>
      </c>
      <c r="D601">
        <v>1781.14</v>
      </c>
      <c r="E601">
        <v>965.32</v>
      </c>
      <c r="F601">
        <v>815.82</v>
      </c>
      <c r="G601" t="s">
        <v>22</v>
      </c>
      <c r="H601">
        <f t="shared" si="9"/>
        <v>25</v>
      </c>
    </row>
    <row r="602" spans="1:8">
      <c r="A602" s="1">
        <v>46108</v>
      </c>
      <c r="B602" t="s">
        <v>20</v>
      </c>
      <c r="C602" t="s">
        <v>27</v>
      </c>
      <c r="D602">
        <v>466.22</v>
      </c>
      <c r="E602">
        <v>520.73</v>
      </c>
      <c r="F602">
        <v>-54.51</v>
      </c>
      <c r="G602" t="s">
        <v>22</v>
      </c>
      <c r="H602">
        <f t="shared" si="9"/>
        <v>13</v>
      </c>
    </row>
    <row r="603" spans="1:8">
      <c r="A603" s="1">
        <v>46084</v>
      </c>
      <c r="B603" t="s">
        <v>23</v>
      </c>
      <c r="C603" t="s">
        <v>30</v>
      </c>
      <c r="D603">
        <v>351.72</v>
      </c>
      <c r="E603">
        <v>2177.25</v>
      </c>
      <c r="F603">
        <v>-1825.53</v>
      </c>
      <c r="G603" t="s">
        <v>22</v>
      </c>
      <c r="H603">
        <f t="shared" si="9"/>
        <v>10</v>
      </c>
    </row>
    <row r="604" spans="1:8">
      <c r="A604" s="1">
        <v>46069</v>
      </c>
      <c r="B604" t="s">
        <v>20</v>
      </c>
      <c r="C604" t="s">
        <v>28</v>
      </c>
      <c r="D604">
        <v>1561.79</v>
      </c>
      <c r="E604">
        <v>1584.45</v>
      </c>
      <c r="F604">
        <v>-22.66</v>
      </c>
      <c r="G604" t="s">
        <v>22</v>
      </c>
      <c r="H604">
        <f t="shared" si="9"/>
        <v>8</v>
      </c>
    </row>
    <row r="605" spans="1:8">
      <c r="A605" s="1">
        <v>46094</v>
      </c>
      <c r="B605" t="s">
        <v>20</v>
      </c>
      <c r="C605" t="s">
        <v>26</v>
      </c>
      <c r="D605">
        <v>1290.3399999999999</v>
      </c>
      <c r="E605">
        <v>385.51</v>
      </c>
      <c r="F605">
        <v>904.83</v>
      </c>
      <c r="G605" t="s">
        <v>22</v>
      </c>
      <c r="H605">
        <f t="shared" si="9"/>
        <v>11</v>
      </c>
    </row>
    <row r="606" spans="1:8">
      <c r="A606" s="1">
        <v>46153</v>
      </c>
      <c r="B606" t="s">
        <v>23</v>
      </c>
      <c r="C606" t="s">
        <v>24</v>
      </c>
      <c r="D606">
        <v>1208.8699999999999</v>
      </c>
      <c r="E606">
        <v>2582.86</v>
      </c>
      <c r="F606">
        <v>-1373.99</v>
      </c>
      <c r="G606" t="s">
        <v>22</v>
      </c>
      <c r="H606">
        <f t="shared" si="9"/>
        <v>20</v>
      </c>
    </row>
    <row r="607" spans="1:8">
      <c r="A607" s="1">
        <v>46192</v>
      </c>
      <c r="B607" t="s">
        <v>20</v>
      </c>
      <c r="C607" t="s">
        <v>25</v>
      </c>
      <c r="D607">
        <v>1085.8599999999999</v>
      </c>
      <c r="E607">
        <v>2183.27</v>
      </c>
      <c r="F607">
        <v>-1097.4100000000001</v>
      </c>
      <c r="G607" t="s">
        <v>22</v>
      </c>
      <c r="H607">
        <f t="shared" si="9"/>
        <v>25</v>
      </c>
    </row>
    <row r="608" spans="1:8">
      <c r="A608" s="1">
        <v>46091</v>
      </c>
      <c r="B608" t="s">
        <v>20</v>
      </c>
      <c r="C608" t="s">
        <v>28</v>
      </c>
      <c r="D608">
        <v>1023.86</v>
      </c>
      <c r="E608">
        <v>371.32</v>
      </c>
      <c r="F608">
        <v>652.54</v>
      </c>
      <c r="G608" t="s">
        <v>22</v>
      </c>
      <c r="H608">
        <f t="shared" si="9"/>
        <v>11</v>
      </c>
    </row>
    <row r="609" spans="1:8">
      <c r="A609" s="1">
        <v>46059</v>
      </c>
      <c r="B609" t="s">
        <v>23</v>
      </c>
      <c r="C609" t="s">
        <v>31</v>
      </c>
      <c r="D609">
        <v>1386.34</v>
      </c>
      <c r="E609">
        <v>980.03</v>
      </c>
      <c r="F609">
        <v>406.31</v>
      </c>
      <c r="G609" t="s">
        <v>22</v>
      </c>
      <c r="H609">
        <f t="shared" si="9"/>
        <v>6</v>
      </c>
    </row>
    <row r="610" spans="1:8">
      <c r="A610" s="1">
        <v>46139</v>
      </c>
      <c r="B610" t="s">
        <v>23</v>
      </c>
      <c r="C610" t="s">
        <v>30</v>
      </c>
      <c r="D610">
        <v>1348.09</v>
      </c>
      <c r="E610">
        <v>1104.3800000000001</v>
      </c>
      <c r="F610">
        <v>243.71</v>
      </c>
      <c r="G610" t="s">
        <v>22</v>
      </c>
      <c r="H610">
        <f t="shared" si="9"/>
        <v>18</v>
      </c>
    </row>
    <row r="611" spans="1:8">
      <c r="A611" s="1">
        <v>46169</v>
      </c>
      <c r="B611" t="s">
        <v>23</v>
      </c>
      <c r="C611" t="s">
        <v>27</v>
      </c>
      <c r="D611">
        <v>405.67</v>
      </c>
      <c r="E611">
        <v>1684.68</v>
      </c>
      <c r="F611">
        <v>-1279.01</v>
      </c>
      <c r="G611" t="s">
        <v>22</v>
      </c>
      <c r="H611">
        <f t="shared" si="9"/>
        <v>22</v>
      </c>
    </row>
    <row r="612" spans="1:8">
      <c r="A612" s="1">
        <v>46050</v>
      </c>
      <c r="B612" t="s">
        <v>20</v>
      </c>
      <c r="C612" t="s">
        <v>21</v>
      </c>
      <c r="D612">
        <v>2167.0700000000002</v>
      </c>
      <c r="E612">
        <v>1403.11</v>
      </c>
      <c r="F612">
        <v>763.96</v>
      </c>
      <c r="G612" t="s">
        <v>22</v>
      </c>
      <c r="H612">
        <f t="shared" si="9"/>
        <v>5</v>
      </c>
    </row>
    <row r="613" spans="1:8">
      <c r="A613" s="1">
        <v>46120</v>
      </c>
      <c r="B613" t="s">
        <v>20</v>
      </c>
      <c r="C613" t="s">
        <v>27</v>
      </c>
      <c r="D613">
        <v>1621.21</v>
      </c>
      <c r="E613">
        <v>491.62</v>
      </c>
      <c r="F613">
        <v>1129.5899999999999</v>
      </c>
      <c r="G613" t="s">
        <v>33</v>
      </c>
      <c r="H613">
        <f t="shared" si="9"/>
        <v>15</v>
      </c>
    </row>
    <row r="614" spans="1:8">
      <c r="A614" s="1">
        <v>46042</v>
      </c>
      <c r="B614" t="s">
        <v>23</v>
      </c>
      <c r="C614" t="s">
        <v>25</v>
      </c>
      <c r="D614">
        <v>1048.83</v>
      </c>
      <c r="E614">
        <v>1543.72</v>
      </c>
      <c r="F614">
        <v>-494.8900000000001</v>
      </c>
      <c r="G614" t="s">
        <v>22</v>
      </c>
      <c r="H614">
        <f t="shared" si="9"/>
        <v>4</v>
      </c>
    </row>
    <row r="615" spans="1:8">
      <c r="A615" s="1">
        <v>46080</v>
      </c>
      <c r="B615" t="s">
        <v>23</v>
      </c>
      <c r="C615" t="s">
        <v>25</v>
      </c>
      <c r="D615">
        <v>1075.67</v>
      </c>
      <c r="E615">
        <v>515.39</v>
      </c>
      <c r="F615">
        <v>560.28</v>
      </c>
      <c r="G615" t="s">
        <v>22</v>
      </c>
      <c r="H615">
        <f t="shared" si="9"/>
        <v>9</v>
      </c>
    </row>
    <row r="616" spans="1:8">
      <c r="A616" s="1">
        <v>46139</v>
      </c>
      <c r="B616" t="s">
        <v>23</v>
      </c>
      <c r="C616" t="s">
        <v>32</v>
      </c>
      <c r="D616">
        <v>1546.13</v>
      </c>
      <c r="E616">
        <v>2595.4899999999998</v>
      </c>
      <c r="F616">
        <v>-1049.3599999999999</v>
      </c>
      <c r="G616" t="s">
        <v>22</v>
      </c>
      <c r="H616">
        <f t="shared" si="9"/>
        <v>18</v>
      </c>
    </row>
    <row r="617" spans="1:8">
      <c r="A617" s="1">
        <v>46057</v>
      </c>
      <c r="B617" t="s">
        <v>23</v>
      </c>
      <c r="C617" t="s">
        <v>31</v>
      </c>
      <c r="D617">
        <v>2499.61</v>
      </c>
      <c r="E617">
        <v>1151.97</v>
      </c>
      <c r="F617">
        <v>1347.64</v>
      </c>
      <c r="G617" t="s">
        <v>22</v>
      </c>
      <c r="H617">
        <f t="shared" si="9"/>
        <v>6</v>
      </c>
    </row>
    <row r="618" spans="1:8">
      <c r="A618" s="1">
        <v>46182</v>
      </c>
      <c r="B618" t="s">
        <v>20</v>
      </c>
      <c r="C618" t="s">
        <v>30</v>
      </c>
      <c r="D618">
        <v>1460.17</v>
      </c>
      <c r="E618">
        <v>1373.79</v>
      </c>
      <c r="F618">
        <v>86.38</v>
      </c>
      <c r="G618" t="s">
        <v>22</v>
      </c>
      <c r="H618">
        <f t="shared" si="9"/>
        <v>24</v>
      </c>
    </row>
    <row r="619" spans="1:8">
      <c r="A619" s="1">
        <v>46128</v>
      </c>
      <c r="B619" t="s">
        <v>23</v>
      </c>
      <c r="C619" t="s">
        <v>29</v>
      </c>
      <c r="D619">
        <v>2495.2399999999998</v>
      </c>
      <c r="E619">
        <v>858.68</v>
      </c>
      <c r="F619">
        <v>1636.56</v>
      </c>
      <c r="G619" t="s">
        <v>22</v>
      </c>
      <c r="H619">
        <f t="shared" si="9"/>
        <v>16</v>
      </c>
    </row>
    <row r="620" spans="1:8">
      <c r="A620" s="1">
        <v>46094</v>
      </c>
      <c r="B620" t="s">
        <v>23</v>
      </c>
      <c r="C620" t="s">
        <v>25</v>
      </c>
      <c r="D620">
        <v>1886.48</v>
      </c>
      <c r="E620">
        <v>941.56</v>
      </c>
      <c r="F620">
        <v>944.92</v>
      </c>
      <c r="G620" t="s">
        <v>22</v>
      </c>
      <c r="H620">
        <f t="shared" si="9"/>
        <v>11</v>
      </c>
    </row>
    <row r="621" spans="1:8">
      <c r="A621" s="1">
        <v>46203</v>
      </c>
      <c r="B621" t="s">
        <v>23</v>
      </c>
      <c r="C621" t="s">
        <v>30</v>
      </c>
      <c r="D621">
        <v>786.92</v>
      </c>
      <c r="E621">
        <v>1332.24</v>
      </c>
      <c r="F621">
        <v>-545.32000000000005</v>
      </c>
      <c r="G621" t="s">
        <v>22</v>
      </c>
      <c r="H621">
        <f t="shared" si="9"/>
        <v>27</v>
      </c>
    </row>
    <row r="622" spans="1:8">
      <c r="A622" s="1">
        <v>46134</v>
      </c>
      <c r="B622" t="s">
        <v>20</v>
      </c>
      <c r="C622" t="s">
        <v>24</v>
      </c>
      <c r="D622">
        <v>254.87</v>
      </c>
      <c r="E622">
        <v>1301.72</v>
      </c>
      <c r="F622">
        <v>-1046.8499999999999</v>
      </c>
      <c r="G622" t="s">
        <v>22</v>
      </c>
      <c r="H622">
        <f t="shared" si="9"/>
        <v>17</v>
      </c>
    </row>
    <row r="623" spans="1:8">
      <c r="A623" s="1">
        <v>46066</v>
      </c>
      <c r="B623" t="s">
        <v>23</v>
      </c>
      <c r="C623" t="s">
        <v>21</v>
      </c>
      <c r="D623">
        <v>598.21</v>
      </c>
      <c r="E623">
        <v>938.27</v>
      </c>
      <c r="F623">
        <v>-340.06</v>
      </c>
      <c r="G623" t="s">
        <v>22</v>
      </c>
      <c r="H623">
        <f t="shared" si="9"/>
        <v>7</v>
      </c>
    </row>
    <row r="624" spans="1:8">
      <c r="A624" s="1">
        <v>46092</v>
      </c>
      <c r="B624" t="s">
        <v>20</v>
      </c>
      <c r="C624" t="s">
        <v>25</v>
      </c>
      <c r="D624">
        <v>1031.6400000000001</v>
      </c>
      <c r="E624">
        <v>1970.59</v>
      </c>
      <c r="F624">
        <v>-938.95</v>
      </c>
      <c r="G624" t="s">
        <v>22</v>
      </c>
      <c r="H624">
        <f t="shared" si="9"/>
        <v>11</v>
      </c>
    </row>
    <row r="625" spans="1:8">
      <c r="A625" s="1">
        <v>46062</v>
      </c>
      <c r="B625" t="s">
        <v>20</v>
      </c>
      <c r="C625" t="s">
        <v>31</v>
      </c>
      <c r="D625">
        <v>1068.76</v>
      </c>
      <c r="E625">
        <v>185.35</v>
      </c>
      <c r="F625">
        <v>883.41</v>
      </c>
      <c r="G625" t="s">
        <v>22</v>
      </c>
      <c r="H625">
        <f t="shared" si="9"/>
        <v>7</v>
      </c>
    </row>
    <row r="626" spans="1:8">
      <c r="A626" s="1">
        <v>46168</v>
      </c>
      <c r="B626" t="s">
        <v>23</v>
      </c>
      <c r="C626" t="s">
        <v>24</v>
      </c>
      <c r="D626">
        <v>2097.1999999999998</v>
      </c>
      <c r="E626">
        <v>1854.35</v>
      </c>
      <c r="F626">
        <v>242.85</v>
      </c>
      <c r="G626" t="s">
        <v>22</v>
      </c>
      <c r="H626">
        <f t="shared" si="9"/>
        <v>22</v>
      </c>
    </row>
    <row r="627" spans="1:8">
      <c r="A627" s="1">
        <v>46146</v>
      </c>
      <c r="B627" t="s">
        <v>20</v>
      </c>
      <c r="C627" t="s">
        <v>24</v>
      </c>
      <c r="D627">
        <v>2194.1999999999998</v>
      </c>
      <c r="E627">
        <v>963.84</v>
      </c>
      <c r="F627">
        <v>1230.3599999999999</v>
      </c>
      <c r="G627" t="s">
        <v>22</v>
      </c>
      <c r="H627">
        <f t="shared" si="9"/>
        <v>19</v>
      </c>
    </row>
    <row r="628" spans="1:8">
      <c r="A628" s="1">
        <v>46030</v>
      </c>
      <c r="B628" t="s">
        <v>20</v>
      </c>
      <c r="C628" t="s">
        <v>30</v>
      </c>
      <c r="D628">
        <v>1431.87</v>
      </c>
      <c r="E628">
        <v>1875.42</v>
      </c>
      <c r="F628">
        <v>-443.55</v>
      </c>
      <c r="G628" t="s">
        <v>22</v>
      </c>
      <c r="H628">
        <f t="shared" si="9"/>
        <v>2</v>
      </c>
    </row>
    <row r="629" spans="1:8">
      <c r="A629" s="1">
        <v>46197</v>
      </c>
      <c r="B629" t="s">
        <v>20</v>
      </c>
      <c r="C629" t="s">
        <v>27</v>
      </c>
      <c r="D629">
        <v>1888.18</v>
      </c>
      <c r="E629">
        <v>1499.73</v>
      </c>
      <c r="F629">
        <v>388.45000000000005</v>
      </c>
      <c r="G629" t="s">
        <v>22</v>
      </c>
      <c r="H629">
        <f t="shared" si="9"/>
        <v>26</v>
      </c>
    </row>
    <row r="630" spans="1:8">
      <c r="A630" s="1">
        <v>46105</v>
      </c>
      <c r="B630" t="s">
        <v>23</v>
      </c>
      <c r="C630" t="s">
        <v>26</v>
      </c>
      <c r="D630">
        <v>1094.8399999999999</v>
      </c>
      <c r="E630">
        <v>878.94</v>
      </c>
      <c r="F630">
        <v>215.9</v>
      </c>
      <c r="G630" t="s">
        <v>22</v>
      </c>
      <c r="H630">
        <f t="shared" si="9"/>
        <v>13</v>
      </c>
    </row>
    <row r="631" spans="1:8">
      <c r="A631" s="1">
        <v>46076</v>
      </c>
      <c r="B631" t="s">
        <v>20</v>
      </c>
      <c r="C631" t="s">
        <v>21</v>
      </c>
      <c r="D631">
        <v>1676.65</v>
      </c>
      <c r="E631">
        <v>1595.72</v>
      </c>
      <c r="F631">
        <v>80.930000000000007</v>
      </c>
      <c r="G631" t="s">
        <v>22</v>
      </c>
      <c r="H631">
        <f t="shared" si="9"/>
        <v>9</v>
      </c>
    </row>
    <row r="632" spans="1:8">
      <c r="A632" s="1">
        <v>46083</v>
      </c>
      <c r="B632" t="s">
        <v>20</v>
      </c>
      <c r="C632" t="s">
        <v>32</v>
      </c>
      <c r="D632">
        <v>1255.79</v>
      </c>
      <c r="E632">
        <v>2141.5500000000002</v>
      </c>
      <c r="F632">
        <v>-885.76</v>
      </c>
      <c r="G632" t="s">
        <v>22</v>
      </c>
      <c r="H632">
        <f t="shared" si="9"/>
        <v>10</v>
      </c>
    </row>
    <row r="633" spans="1:8">
      <c r="A633" s="1">
        <v>46127</v>
      </c>
      <c r="B633" t="s">
        <v>20</v>
      </c>
      <c r="C633" t="s">
        <v>29</v>
      </c>
      <c r="D633">
        <v>2199.17</v>
      </c>
      <c r="E633">
        <v>1623.68</v>
      </c>
      <c r="F633">
        <v>575.49</v>
      </c>
      <c r="G633" t="s">
        <v>22</v>
      </c>
      <c r="H633">
        <f t="shared" si="9"/>
        <v>16</v>
      </c>
    </row>
    <row r="634" spans="1:8">
      <c r="A634" s="1">
        <v>46028</v>
      </c>
      <c r="B634" t="s">
        <v>23</v>
      </c>
      <c r="C634" t="s">
        <v>28</v>
      </c>
      <c r="D634">
        <v>1992.83</v>
      </c>
      <c r="E634">
        <v>1228.24</v>
      </c>
      <c r="F634">
        <v>764.59</v>
      </c>
      <c r="G634" t="s">
        <v>22</v>
      </c>
      <c r="H634">
        <f t="shared" si="9"/>
        <v>2</v>
      </c>
    </row>
    <row r="635" spans="1:8">
      <c r="A635" s="1">
        <v>46051</v>
      </c>
      <c r="B635" t="s">
        <v>23</v>
      </c>
      <c r="C635" t="s">
        <v>26</v>
      </c>
      <c r="D635">
        <v>1730.39</v>
      </c>
      <c r="E635">
        <v>2037.95</v>
      </c>
      <c r="F635">
        <v>-307.56</v>
      </c>
      <c r="G635" t="s">
        <v>22</v>
      </c>
      <c r="H635">
        <f t="shared" si="9"/>
        <v>5</v>
      </c>
    </row>
    <row r="636" spans="1:8">
      <c r="A636" s="1">
        <v>46198</v>
      </c>
      <c r="B636" t="s">
        <v>20</v>
      </c>
      <c r="C636" t="s">
        <v>30</v>
      </c>
      <c r="D636">
        <v>2064.5500000000002</v>
      </c>
      <c r="E636">
        <v>420.56</v>
      </c>
      <c r="F636">
        <v>1643.99</v>
      </c>
      <c r="G636" t="s">
        <v>22</v>
      </c>
      <c r="H636">
        <f t="shared" si="9"/>
        <v>26</v>
      </c>
    </row>
    <row r="637" spans="1:8">
      <c r="A637" s="1">
        <v>46176</v>
      </c>
      <c r="B637" t="s">
        <v>23</v>
      </c>
      <c r="C637" t="s">
        <v>28</v>
      </c>
      <c r="D637">
        <v>462.49</v>
      </c>
      <c r="E637">
        <v>795.75</v>
      </c>
      <c r="F637">
        <v>-333.26</v>
      </c>
      <c r="G637" t="s">
        <v>22</v>
      </c>
      <c r="H637">
        <f t="shared" si="9"/>
        <v>23</v>
      </c>
    </row>
    <row r="638" spans="1:8">
      <c r="A638" s="1">
        <v>46148</v>
      </c>
      <c r="B638" t="s">
        <v>23</v>
      </c>
      <c r="C638" t="s">
        <v>29</v>
      </c>
      <c r="D638">
        <v>583.32000000000005</v>
      </c>
      <c r="E638">
        <v>1846.58</v>
      </c>
      <c r="F638">
        <v>-1263.26</v>
      </c>
      <c r="G638" t="s">
        <v>22</v>
      </c>
      <c r="H638">
        <f t="shared" si="9"/>
        <v>19</v>
      </c>
    </row>
    <row r="639" spans="1:8">
      <c r="A639" s="1">
        <v>46035</v>
      </c>
      <c r="B639" t="s">
        <v>20</v>
      </c>
      <c r="C639" t="s">
        <v>26</v>
      </c>
      <c r="D639">
        <v>975.37</v>
      </c>
      <c r="E639">
        <v>845.57</v>
      </c>
      <c r="F639">
        <v>129.80000000000001</v>
      </c>
      <c r="G639" t="s">
        <v>22</v>
      </c>
      <c r="H639">
        <f t="shared" si="9"/>
        <v>3</v>
      </c>
    </row>
    <row r="640" spans="1:8">
      <c r="A640" s="1">
        <v>46071</v>
      </c>
      <c r="B640" t="s">
        <v>23</v>
      </c>
      <c r="C640" t="s">
        <v>24</v>
      </c>
      <c r="D640">
        <v>1068.27</v>
      </c>
      <c r="E640">
        <v>2015.46</v>
      </c>
      <c r="F640">
        <v>-947.19</v>
      </c>
      <c r="G640" t="s">
        <v>22</v>
      </c>
      <c r="H640">
        <f t="shared" si="9"/>
        <v>8</v>
      </c>
    </row>
    <row r="641" spans="1:8">
      <c r="A641" s="1">
        <v>46192</v>
      </c>
      <c r="B641" t="s">
        <v>23</v>
      </c>
      <c r="C641" t="s">
        <v>27</v>
      </c>
      <c r="D641">
        <v>597.26</v>
      </c>
      <c r="E641">
        <v>1151.22</v>
      </c>
      <c r="F641">
        <v>-553.96</v>
      </c>
      <c r="G641" t="s">
        <v>22</v>
      </c>
      <c r="H641">
        <f t="shared" si="9"/>
        <v>25</v>
      </c>
    </row>
    <row r="642" spans="1:8">
      <c r="A642" s="1">
        <v>46203</v>
      </c>
      <c r="B642" t="s">
        <v>20</v>
      </c>
      <c r="C642" t="s">
        <v>31</v>
      </c>
      <c r="D642">
        <v>1197.0999999999999</v>
      </c>
      <c r="E642">
        <v>263.64999999999998</v>
      </c>
      <c r="F642">
        <v>933.45</v>
      </c>
      <c r="G642" t="s">
        <v>22</v>
      </c>
      <c r="H642">
        <f t="shared" ref="H642:H705" si="10">WEEKNUM(A642,2)</f>
        <v>27</v>
      </c>
    </row>
    <row r="643" spans="1:8">
      <c r="A643" s="1">
        <v>46160</v>
      </c>
      <c r="B643" t="s">
        <v>20</v>
      </c>
      <c r="C643" t="s">
        <v>25</v>
      </c>
      <c r="D643">
        <v>1711.48</v>
      </c>
      <c r="E643">
        <v>1634.83</v>
      </c>
      <c r="F643">
        <v>76.650000000000006</v>
      </c>
      <c r="G643" t="s">
        <v>22</v>
      </c>
      <c r="H643">
        <f t="shared" si="10"/>
        <v>21</v>
      </c>
    </row>
    <row r="644" spans="1:8">
      <c r="A644" s="1">
        <v>46076</v>
      </c>
      <c r="B644" t="s">
        <v>20</v>
      </c>
      <c r="C644" t="s">
        <v>25</v>
      </c>
      <c r="D644">
        <v>1510.56</v>
      </c>
      <c r="E644">
        <v>1832.53</v>
      </c>
      <c r="F644">
        <v>-321.97000000000003</v>
      </c>
      <c r="G644" t="s">
        <v>22</v>
      </c>
      <c r="H644">
        <f t="shared" si="10"/>
        <v>9</v>
      </c>
    </row>
    <row r="645" spans="1:8">
      <c r="A645" s="1">
        <v>46157</v>
      </c>
      <c r="B645" t="s">
        <v>20</v>
      </c>
      <c r="C645" t="s">
        <v>28</v>
      </c>
      <c r="D645">
        <v>2133.96</v>
      </c>
      <c r="E645">
        <v>1292.44</v>
      </c>
      <c r="F645">
        <v>841.52</v>
      </c>
      <c r="G645" t="s">
        <v>22</v>
      </c>
      <c r="H645">
        <f t="shared" si="10"/>
        <v>20</v>
      </c>
    </row>
    <row r="646" spans="1:8">
      <c r="A646" s="1">
        <v>46087</v>
      </c>
      <c r="B646" t="s">
        <v>23</v>
      </c>
      <c r="C646" t="s">
        <v>31</v>
      </c>
      <c r="D646">
        <v>759.2</v>
      </c>
      <c r="E646">
        <v>2058.48</v>
      </c>
      <c r="F646">
        <v>-1299.28</v>
      </c>
      <c r="G646" t="s">
        <v>22</v>
      </c>
      <c r="H646">
        <f t="shared" si="10"/>
        <v>10</v>
      </c>
    </row>
    <row r="647" spans="1:8">
      <c r="A647" s="1">
        <v>46156</v>
      </c>
      <c r="B647" t="s">
        <v>20</v>
      </c>
      <c r="C647" t="s">
        <v>21</v>
      </c>
      <c r="D647">
        <v>2094.4699999999998</v>
      </c>
      <c r="E647">
        <v>1953.41</v>
      </c>
      <c r="F647">
        <v>141.06</v>
      </c>
      <c r="G647" t="s">
        <v>22</v>
      </c>
      <c r="H647">
        <f t="shared" si="10"/>
        <v>20</v>
      </c>
    </row>
    <row r="648" spans="1:8">
      <c r="A648" s="1">
        <v>46078</v>
      </c>
      <c r="B648" t="s">
        <v>23</v>
      </c>
      <c r="C648" t="s">
        <v>24</v>
      </c>
      <c r="D648">
        <v>389.52</v>
      </c>
      <c r="E648">
        <v>2290.02</v>
      </c>
      <c r="F648">
        <v>-1900.5</v>
      </c>
      <c r="G648" t="s">
        <v>22</v>
      </c>
      <c r="H648">
        <f t="shared" si="10"/>
        <v>9</v>
      </c>
    </row>
    <row r="649" spans="1:8">
      <c r="A649" s="1">
        <v>46091</v>
      </c>
      <c r="B649" t="s">
        <v>20</v>
      </c>
      <c r="C649" t="s">
        <v>21</v>
      </c>
      <c r="D649">
        <v>1610.42</v>
      </c>
      <c r="E649">
        <v>1059.3</v>
      </c>
      <c r="F649">
        <v>551.12</v>
      </c>
      <c r="G649" t="s">
        <v>22</v>
      </c>
      <c r="H649">
        <f t="shared" si="10"/>
        <v>11</v>
      </c>
    </row>
    <row r="650" spans="1:8">
      <c r="A650" s="1">
        <v>46036</v>
      </c>
      <c r="B650" t="s">
        <v>20</v>
      </c>
      <c r="C650" t="s">
        <v>24</v>
      </c>
      <c r="D650">
        <v>588.17999999999995</v>
      </c>
      <c r="E650">
        <v>972.13</v>
      </c>
      <c r="F650">
        <v>-383.95</v>
      </c>
      <c r="G650" t="s">
        <v>22</v>
      </c>
      <c r="H650">
        <f t="shared" si="10"/>
        <v>3</v>
      </c>
    </row>
    <row r="651" spans="1:8">
      <c r="A651" s="1">
        <v>46121</v>
      </c>
      <c r="B651" t="s">
        <v>23</v>
      </c>
      <c r="C651" t="s">
        <v>26</v>
      </c>
      <c r="D651">
        <v>1470.7</v>
      </c>
      <c r="E651">
        <v>1155.28</v>
      </c>
      <c r="F651">
        <v>315.42</v>
      </c>
      <c r="G651" t="s">
        <v>22</v>
      </c>
      <c r="H651">
        <f t="shared" si="10"/>
        <v>15</v>
      </c>
    </row>
    <row r="652" spans="1:8">
      <c r="A652" s="1">
        <v>46044</v>
      </c>
      <c r="B652" t="s">
        <v>20</v>
      </c>
      <c r="C652" t="s">
        <v>31</v>
      </c>
      <c r="D652">
        <v>869.85</v>
      </c>
      <c r="E652">
        <v>1194.28</v>
      </c>
      <c r="F652">
        <v>-324.43</v>
      </c>
      <c r="G652" t="s">
        <v>22</v>
      </c>
      <c r="H652">
        <f t="shared" si="10"/>
        <v>4</v>
      </c>
    </row>
    <row r="653" spans="1:8">
      <c r="A653" s="1">
        <v>46083</v>
      </c>
      <c r="B653" t="s">
        <v>20</v>
      </c>
      <c r="C653" t="s">
        <v>24</v>
      </c>
      <c r="D653">
        <v>1840.61</v>
      </c>
      <c r="E653">
        <v>1137.79</v>
      </c>
      <c r="F653">
        <v>702.82</v>
      </c>
      <c r="G653" t="s">
        <v>22</v>
      </c>
      <c r="H653">
        <f t="shared" si="10"/>
        <v>10</v>
      </c>
    </row>
    <row r="654" spans="1:8">
      <c r="A654" s="1">
        <v>46079</v>
      </c>
      <c r="B654" t="s">
        <v>20</v>
      </c>
      <c r="C654" t="s">
        <v>28</v>
      </c>
      <c r="D654">
        <v>763.27</v>
      </c>
      <c r="E654">
        <v>2122.16</v>
      </c>
      <c r="F654">
        <v>-1358.89</v>
      </c>
      <c r="G654" t="s">
        <v>22</v>
      </c>
      <c r="H654">
        <f t="shared" si="10"/>
        <v>9</v>
      </c>
    </row>
    <row r="655" spans="1:8">
      <c r="A655" s="1">
        <v>46185</v>
      </c>
      <c r="B655" t="s">
        <v>23</v>
      </c>
      <c r="C655" t="s">
        <v>26</v>
      </c>
      <c r="D655">
        <v>481.73</v>
      </c>
      <c r="E655">
        <v>2148.5300000000002</v>
      </c>
      <c r="F655">
        <v>-1666.8</v>
      </c>
      <c r="G655" t="s">
        <v>22</v>
      </c>
      <c r="H655">
        <f t="shared" si="10"/>
        <v>24</v>
      </c>
    </row>
    <row r="656" spans="1:8">
      <c r="A656" s="1">
        <v>46171</v>
      </c>
      <c r="B656" t="s">
        <v>20</v>
      </c>
      <c r="C656" t="s">
        <v>27</v>
      </c>
      <c r="D656">
        <v>998.31</v>
      </c>
      <c r="E656">
        <v>1747.3</v>
      </c>
      <c r="F656">
        <v>-748.99</v>
      </c>
      <c r="G656" t="s">
        <v>22</v>
      </c>
      <c r="H656">
        <f t="shared" si="10"/>
        <v>22</v>
      </c>
    </row>
    <row r="657" spans="1:8">
      <c r="A657" s="1">
        <v>46199</v>
      </c>
      <c r="B657" t="s">
        <v>20</v>
      </c>
      <c r="C657" t="s">
        <v>32</v>
      </c>
      <c r="D657">
        <v>468.52</v>
      </c>
      <c r="E657">
        <v>819.84</v>
      </c>
      <c r="F657">
        <v>-351.32</v>
      </c>
      <c r="G657" t="s">
        <v>22</v>
      </c>
      <c r="H657">
        <f t="shared" si="10"/>
        <v>26</v>
      </c>
    </row>
    <row r="658" spans="1:8">
      <c r="A658" s="1">
        <v>46140</v>
      </c>
      <c r="B658" t="s">
        <v>20</v>
      </c>
      <c r="C658" t="s">
        <v>27</v>
      </c>
      <c r="D658">
        <v>1732.58</v>
      </c>
      <c r="E658">
        <v>1627.9</v>
      </c>
      <c r="F658">
        <v>104.68</v>
      </c>
      <c r="G658" t="s">
        <v>22</v>
      </c>
      <c r="H658">
        <f t="shared" si="10"/>
        <v>18</v>
      </c>
    </row>
    <row r="659" spans="1:8">
      <c r="A659" s="1">
        <v>46099</v>
      </c>
      <c r="B659" t="s">
        <v>20</v>
      </c>
      <c r="C659" t="s">
        <v>26</v>
      </c>
      <c r="D659">
        <v>414.83</v>
      </c>
      <c r="E659">
        <v>1241.79</v>
      </c>
      <c r="F659">
        <v>-826.96</v>
      </c>
      <c r="G659" t="s">
        <v>22</v>
      </c>
      <c r="H659">
        <f t="shared" si="10"/>
        <v>12</v>
      </c>
    </row>
    <row r="660" spans="1:8">
      <c r="A660" s="1">
        <v>46129</v>
      </c>
      <c r="B660" t="s">
        <v>20</v>
      </c>
      <c r="C660" t="s">
        <v>31</v>
      </c>
      <c r="D660">
        <v>1841.73</v>
      </c>
      <c r="E660">
        <v>208.17</v>
      </c>
      <c r="F660">
        <v>1633.56</v>
      </c>
      <c r="G660" t="s">
        <v>22</v>
      </c>
      <c r="H660">
        <f t="shared" si="10"/>
        <v>16</v>
      </c>
    </row>
    <row r="661" spans="1:8">
      <c r="A661" s="1">
        <v>46024</v>
      </c>
      <c r="B661" t="s">
        <v>20</v>
      </c>
      <c r="C661" t="s">
        <v>25</v>
      </c>
      <c r="D661">
        <v>591.39</v>
      </c>
      <c r="E661">
        <v>1715.16</v>
      </c>
      <c r="F661">
        <v>-1123.77</v>
      </c>
      <c r="G661" t="s">
        <v>22</v>
      </c>
      <c r="H661">
        <f t="shared" si="10"/>
        <v>1</v>
      </c>
    </row>
    <row r="662" spans="1:8">
      <c r="A662" s="1">
        <v>46043</v>
      </c>
      <c r="B662" t="s">
        <v>20</v>
      </c>
      <c r="C662" t="s">
        <v>24</v>
      </c>
      <c r="D662">
        <v>1794.58</v>
      </c>
      <c r="E662">
        <v>1921.33</v>
      </c>
      <c r="F662">
        <v>-126.75</v>
      </c>
      <c r="G662" t="s">
        <v>22</v>
      </c>
      <c r="H662">
        <f t="shared" si="10"/>
        <v>4</v>
      </c>
    </row>
    <row r="663" spans="1:8">
      <c r="A663" s="1">
        <v>46146</v>
      </c>
      <c r="B663" t="s">
        <v>20</v>
      </c>
      <c r="C663" t="s">
        <v>32</v>
      </c>
      <c r="D663">
        <v>1165.54</v>
      </c>
      <c r="E663">
        <v>2070.0500000000002</v>
      </c>
      <c r="F663">
        <v>-904.51</v>
      </c>
      <c r="G663" t="s">
        <v>22</v>
      </c>
      <c r="H663">
        <f t="shared" si="10"/>
        <v>19</v>
      </c>
    </row>
    <row r="664" spans="1:8">
      <c r="A664" s="1">
        <v>46174</v>
      </c>
      <c r="B664" t="s">
        <v>20</v>
      </c>
      <c r="C664" t="s">
        <v>21</v>
      </c>
      <c r="D664">
        <v>427.75</v>
      </c>
      <c r="E664">
        <v>163.87</v>
      </c>
      <c r="F664">
        <v>263.88</v>
      </c>
      <c r="G664" t="s">
        <v>22</v>
      </c>
      <c r="H664">
        <f t="shared" si="10"/>
        <v>23</v>
      </c>
    </row>
    <row r="665" spans="1:8">
      <c r="A665" s="1">
        <v>46195</v>
      </c>
      <c r="B665" t="s">
        <v>23</v>
      </c>
      <c r="C665" t="s">
        <v>32</v>
      </c>
      <c r="D665">
        <v>1953.83</v>
      </c>
      <c r="E665">
        <v>445.83</v>
      </c>
      <c r="F665">
        <v>1508</v>
      </c>
      <c r="G665" t="s">
        <v>22</v>
      </c>
      <c r="H665">
        <f t="shared" si="10"/>
        <v>26</v>
      </c>
    </row>
    <row r="666" spans="1:8">
      <c r="A666" s="1">
        <v>46132</v>
      </c>
      <c r="B666" t="s">
        <v>23</v>
      </c>
      <c r="C666" t="s">
        <v>24</v>
      </c>
      <c r="D666">
        <v>1547.96</v>
      </c>
      <c r="E666">
        <v>965.88</v>
      </c>
      <c r="F666">
        <v>582.08000000000004</v>
      </c>
      <c r="G666" t="s">
        <v>22</v>
      </c>
      <c r="H666">
        <f t="shared" si="10"/>
        <v>17</v>
      </c>
    </row>
    <row r="667" spans="1:8">
      <c r="A667" s="1">
        <v>46083</v>
      </c>
      <c r="B667" t="s">
        <v>23</v>
      </c>
      <c r="C667" t="s">
        <v>25</v>
      </c>
      <c r="D667">
        <v>2131.0100000000002</v>
      </c>
      <c r="E667">
        <v>1077.8599999999999</v>
      </c>
      <c r="F667">
        <v>1053.1500000000001</v>
      </c>
      <c r="G667" t="s">
        <v>22</v>
      </c>
      <c r="H667">
        <f t="shared" si="10"/>
        <v>10</v>
      </c>
    </row>
    <row r="668" spans="1:8">
      <c r="A668" s="1">
        <v>46119</v>
      </c>
      <c r="B668" t="s">
        <v>23</v>
      </c>
      <c r="C668" t="s">
        <v>24</v>
      </c>
      <c r="D668">
        <v>2418.35</v>
      </c>
      <c r="E668">
        <v>1446.26</v>
      </c>
      <c r="F668">
        <v>972.09</v>
      </c>
      <c r="G668" t="s">
        <v>22</v>
      </c>
      <c r="H668">
        <f t="shared" si="10"/>
        <v>15</v>
      </c>
    </row>
    <row r="669" spans="1:8">
      <c r="A669" s="1">
        <v>46066</v>
      </c>
      <c r="B669" t="s">
        <v>20</v>
      </c>
      <c r="C669" t="s">
        <v>28</v>
      </c>
      <c r="D669">
        <v>692.34</v>
      </c>
      <c r="E669">
        <v>1772.06</v>
      </c>
      <c r="F669">
        <v>-1079.72</v>
      </c>
      <c r="G669" t="s">
        <v>22</v>
      </c>
      <c r="H669">
        <f t="shared" si="10"/>
        <v>7</v>
      </c>
    </row>
    <row r="670" spans="1:8">
      <c r="A670" s="1">
        <v>46163</v>
      </c>
      <c r="B670" t="s">
        <v>23</v>
      </c>
      <c r="C670" t="s">
        <v>31</v>
      </c>
      <c r="D670">
        <v>240.14</v>
      </c>
      <c r="E670">
        <v>1933.26</v>
      </c>
      <c r="F670">
        <v>-1693.12</v>
      </c>
      <c r="G670" t="s">
        <v>22</v>
      </c>
      <c r="H670">
        <f t="shared" si="10"/>
        <v>21</v>
      </c>
    </row>
    <row r="671" spans="1:8">
      <c r="A671" s="1">
        <v>46118</v>
      </c>
      <c r="B671" t="s">
        <v>23</v>
      </c>
      <c r="C671" t="s">
        <v>29</v>
      </c>
      <c r="D671">
        <v>678.73</v>
      </c>
      <c r="E671">
        <v>300.57</v>
      </c>
      <c r="F671">
        <v>378.16</v>
      </c>
      <c r="G671" t="s">
        <v>22</v>
      </c>
      <c r="H671">
        <f t="shared" si="10"/>
        <v>15</v>
      </c>
    </row>
    <row r="672" spans="1:8">
      <c r="A672" s="1">
        <v>46093</v>
      </c>
      <c r="B672" t="s">
        <v>20</v>
      </c>
      <c r="C672" t="s">
        <v>24</v>
      </c>
      <c r="D672">
        <v>416.74</v>
      </c>
      <c r="E672">
        <v>272.95999999999998</v>
      </c>
      <c r="F672">
        <v>143.78</v>
      </c>
      <c r="G672" t="s">
        <v>22</v>
      </c>
      <c r="H672">
        <f t="shared" si="10"/>
        <v>11</v>
      </c>
    </row>
    <row r="673" spans="1:8">
      <c r="A673" s="1">
        <v>46099</v>
      </c>
      <c r="B673" t="s">
        <v>20</v>
      </c>
      <c r="C673" t="s">
        <v>32</v>
      </c>
      <c r="D673">
        <v>1519.5</v>
      </c>
      <c r="E673">
        <v>876.04</v>
      </c>
      <c r="F673">
        <v>643.46</v>
      </c>
      <c r="G673" t="s">
        <v>22</v>
      </c>
      <c r="H673">
        <f t="shared" si="10"/>
        <v>12</v>
      </c>
    </row>
    <row r="674" spans="1:8">
      <c r="A674" s="1">
        <v>46199</v>
      </c>
      <c r="B674" t="s">
        <v>23</v>
      </c>
      <c r="C674" t="s">
        <v>28</v>
      </c>
      <c r="D674">
        <v>338.97</v>
      </c>
      <c r="E674">
        <v>406.91</v>
      </c>
      <c r="F674">
        <v>-67.94</v>
      </c>
      <c r="G674" t="s">
        <v>22</v>
      </c>
      <c r="H674">
        <f t="shared" si="10"/>
        <v>26</v>
      </c>
    </row>
    <row r="675" spans="1:8">
      <c r="A675" s="1">
        <v>46078</v>
      </c>
      <c r="B675" t="s">
        <v>20</v>
      </c>
      <c r="C675" t="s">
        <v>32</v>
      </c>
      <c r="D675">
        <v>1782.09</v>
      </c>
      <c r="E675">
        <v>751.4</v>
      </c>
      <c r="F675">
        <v>1030.69</v>
      </c>
      <c r="G675" t="s">
        <v>22</v>
      </c>
      <c r="H675">
        <f t="shared" si="10"/>
        <v>9</v>
      </c>
    </row>
    <row r="676" spans="1:8">
      <c r="A676" s="1">
        <v>46156</v>
      </c>
      <c r="B676" t="s">
        <v>23</v>
      </c>
      <c r="C676" t="s">
        <v>26</v>
      </c>
      <c r="D676">
        <v>2085.9299999999998</v>
      </c>
      <c r="E676">
        <v>964.96</v>
      </c>
      <c r="F676">
        <v>1120.97</v>
      </c>
      <c r="G676" t="s">
        <v>22</v>
      </c>
      <c r="H676">
        <f t="shared" si="10"/>
        <v>20</v>
      </c>
    </row>
    <row r="677" spans="1:8">
      <c r="A677" s="1">
        <v>46084</v>
      </c>
      <c r="B677" t="s">
        <v>20</v>
      </c>
      <c r="C677" t="s">
        <v>29</v>
      </c>
      <c r="D677">
        <v>1459.03</v>
      </c>
      <c r="E677">
        <v>911.52</v>
      </c>
      <c r="F677">
        <v>547.51</v>
      </c>
      <c r="G677" t="s">
        <v>22</v>
      </c>
      <c r="H677">
        <f t="shared" si="10"/>
        <v>10</v>
      </c>
    </row>
    <row r="678" spans="1:8">
      <c r="A678" s="1">
        <v>46149</v>
      </c>
      <c r="B678" t="s">
        <v>23</v>
      </c>
      <c r="C678" t="s">
        <v>29</v>
      </c>
      <c r="D678">
        <v>2401.39</v>
      </c>
      <c r="E678">
        <v>469.3</v>
      </c>
      <c r="F678">
        <v>1932.09</v>
      </c>
      <c r="G678" t="s">
        <v>22</v>
      </c>
      <c r="H678">
        <f t="shared" si="10"/>
        <v>19</v>
      </c>
    </row>
    <row r="679" spans="1:8">
      <c r="A679" s="1">
        <v>46073</v>
      </c>
      <c r="B679" t="s">
        <v>20</v>
      </c>
      <c r="C679" t="s">
        <v>32</v>
      </c>
      <c r="D679">
        <v>846.74</v>
      </c>
      <c r="E679">
        <v>1764.82</v>
      </c>
      <c r="F679">
        <v>-918.08</v>
      </c>
      <c r="G679" t="s">
        <v>22</v>
      </c>
      <c r="H679">
        <f t="shared" si="10"/>
        <v>8</v>
      </c>
    </row>
    <row r="680" spans="1:8">
      <c r="A680" s="1">
        <v>46069</v>
      </c>
      <c r="B680" t="s">
        <v>20</v>
      </c>
      <c r="C680" t="s">
        <v>26</v>
      </c>
      <c r="D680">
        <v>2082.4899999999998</v>
      </c>
      <c r="E680">
        <v>1175.97</v>
      </c>
      <c r="F680">
        <v>906.52</v>
      </c>
      <c r="G680" t="s">
        <v>22</v>
      </c>
      <c r="H680">
        <f t="shared" si="10"/>
        <v>8</v>
      </c>
    </row>
    <row r="681" spans="1:8">
      <c r="A681" s="1">
        <v>46024</v>
      </c>
      <c r="B681" t="s">
        <v>20</v>
      </c>
      <c r="C681" t="s">
        <v>32</v>
      </c>
      <c r="D681">
        <v>359.53</v>
      </c>
      <c r="E681">
        <v>928.85</v>
      </c>
      <c r="F681">
        <v>-569.32000000000005</v>
      </c>
      <c r="G681" t="s">
        <v>22</v>
      </c>
      <c r="H681">
        <f t="shared" si="10"/>
        <v>1</v>
      </c>
    </row>
    <row r="682" spans="1:8">
      <c r="A682" s="1">
        <v>46148</v>
      </c>
      <c r="B682" t="s">
        <v>23</v>
      </c>
      <c r="C682" t="s">
        <v>26</v>
      </c>
      <c r="D682">
        <v>2415.4499999999998</v>
      </c>
      <c r="E682">
        <v>2330.7199999999998</v>
      </c>
      <c r="F682">
        <v>84.73</v>
      </c>
      <c r="G682" t="s">
        <v>22</v>
      </c>
      <c r="H682">
        <f t="shared" si="10"/>
        <v>19</v>
      </c>
    </row>
    <row r="683" spans="1:8">
      <c r="A683" s="1">
        <v>46176</v>
      </c>
      <c r="B683" t="s">
        <v>20</v>
      </c>
      <c r="C683" t="s">
        <v>21</v>
      </c>
      <c r="D683">
        <v>1767.61</v>
      </c>
      <c r="E683">
        <v>301.63</v>
      </c>
      <c r="F683">
        <v>1465.98</v>
      </c>
      <c r="G683" t="s">
        <v>22</v>
      </c>
      <c r="H683">
        <f t="shared" si="10"/>
        <v>23</v>
      </c>
    </row>
    <row r="684" spans="1:8">
      <c r="A684" s="1">
        <v>46182</v>
      </c>
      <c r="B684" t="s">
        <v>23</v>
      </c>
      <c r="C684" t="s">
        <v>24</v>
      </c>
      <c r="D684">
        <v>772.57</v>
      </c>
      <c r="E684">
        <v>480.68</v>
      </c>
      <c r="F684">
        <v>291.89</v>
      </c>
      <c r="G684" t="s">
        <v>22</v>
      </c>
      <c r="H684">
        <f t="shared" si="10"/>
        <v>24</v>
      </c>
    </row>
    <row r="685" spans="1:8">
      <c r="A685" s="1">
        <v>46050</v>
      </c>
      <c r="B685" t="s">
        <v>23</v>
      </c>
      <c r="C685" t="s">
        <v>26</v>
      </c>
      <c r="D685">
        <v>2048.11</v>
      </c>
      <c r="E685">
        <v>455.81</v>
      </c>
      <c r="F685">
        <v>1592.3</v>
      </c>
      <c r="G685" t="s">
        <v>22</v>
      </c>
      <c r="H685">
        <f t="shared" si="10"/>
        <v>5</v>
      </c>
    </row>
    <row r="686" spans="1:8">
      <c r="A686" s="1">
        <v>46170</v>
      </c>
      <c r="B686" t="s">
        <v>23</v>
      </c>
      <c r="C686" t="s">
        <v>27</v>
      </c>
      <c r="D686">
        <v>1277.22</v>
      </c>
      <c r="E686">
        <v>1531.38</v>
      </c>
      <c r="F686">
        <v>-254.16</v>
      </c>
      <c r="G686" t="s">
        <v>22</v>
      </c>
      <c r="H686">
        <f t="shared" si="10"/>
        <v>22</v>
      </c>
    </row>
    <row r="687" spans="1:8">
      <c r="A687" s="1">
        <v>46024</v>
      </c>
      <c r="B687" t="s">
        <v>20</v>
      </c>
      <c r="C687" t="s">
        <v>27</v>
      </c>
      <c r="D687">
        <v>885.91</v>
      </c>
      <c r="E687">
        <v>855.11</v>
      </c>
      <c r="F687">
        <v>30.8</v>
      </c>
      <c r="G687" t="s">
        <v>22</v>
      </c>
      <c r="H687">
        <f t="shared" si="10"/>
        <v>1</v>
      </c>
    </row>
    <row r="688" spans="1:8">
      <c r="A688" s="1">
        <v>46164</v>
      </c>
      <c r="B688" t="s">
        <v>20</v>
      </c>
      <c r="C688" t="s">
        <v>29</v>
      </c>
      <c r="D688">
        <v>1229.23</v>
      </c>
      <c r="E688">
        <v>1821.19</v>
      </c>
      <c r="F688">
        <v>-591.96</v>
      </c>
      <c r="G688" t="s">
        <v>22</v>
      </c>
      <c r="H688">
        <f t="shared" si="10"/>
        <v>21</v>
      </c>
    </row>
    <row r="689" spans="1:8">
      <c r="A689" s="1">
        <v>46183</v>
      </c>
      <c r="B689" t="s">
        <v>23</v>
      </c>
      <c r="C689" t="s">
        <v>28</v>
      </c>
      <c r="D689">
        <v>1686.58</v>
      </c>
      <c r="E689">
        <v>2277.25</v>
      </c>
      <c r="F689">
        <v>-590.66999999999996</v>
      </c>
      <c r="G689" t="s">
        <v>22</v>
      </c>
      <c r="H689">
        <f t="shared" si="10"/>
        <v>24</v>
      </c>
    </row>
    <row r="690" spans="1:8">
      <c r="A690" s="1">
        <v>46129</v>
      </c>
      <c r="B690" t="s">
        <v>20</v>
      </c>
      <c r="C690" t="s">
        <v>25</v>
      </c>
      <c r="D690">
        <v>1332.38</v>
      </c>
      <c r="E690">
        <v>1484.82</v>
      </c>
      <c r="F690">
        <v>-152.44</v>
      </c>
      <c r="G690" t="s">
        <v>22</v>
      </c>
      <c r="H690">
        <f t="shared" si="10"/>
        <v>16</v>
      </c>
    </row>
    <row r="691" spans="1:8">
      <c r="A691" s="1">
        <v>46106</v>
      </c>
      <c r="B691" t="s">
        <v>20</v>
      </c>
      <c r="C691" t="s">
        <v>24</v>
      </c>
      <c r="D691">
        <v>2127.04</v>
      </c>
      <c r="E691">
        <v>1385.54</v>
      </c>
      <c r="F691">
        <v>741.5</v>
      </c>
      <c r="G691" t="s">
        <v>22</v>
      </c>
      <c r="H691">
        <f t="shared" si="10"/>
        <v>13</v>
      </c>
    </row>
    <row r="692" spans="1:8">
      <c r="A692" s="1">
        <v>46157</v>
      </c>
      <c r="B692" t="s">
        <v>23</v>
      </c>
      <c r="C692" t="s">
        <v>26</v>
      </c>
      <c r="D692">
        <v>844.31</v>
      </c>
      <c r="E692">
        <v>1816.81</v>
      </c>
      <c r="F692">
        <v>-972.5</v>
      </c>
      <c r="G692" t="s">
        <v>22</v>
      </c>
      <c r="H692">
        <f t="shared" si="10"/>
        <v>20</v>
      </c>
    </row>
    <row r="693" spans="1:8">
      <c r="A693" s="1">
        <v>46181</v>
      </c>
      <c r="B693" t="s">
        <v>23</v>
      </c>
      <c r="C693" t="s">
        <v>21</v>
      </c>
      <c r="D693">
        <v>2005.58</v>
      </c>
      <c r="E693">
        <v>2140.9499999999998</v>
      </c>
      <c r="F693">
        <v>-135.37</v>
      </c>
      <c r="G693" t="s">
        <v>22</v>
      </c>
      <c r="H693">
        <f t="shared" si="10"/>
        <v>24</v>
      </c>
    </row>
    <row r="694" spans="1:8">
      <c r="A694" s="1">
        <v>46064</v>
      </c>
      <c r="B694" t="s">
        <v>23</v>
      </c>
      <c r="C694" t="s">
        <v>31</v>
      </c>
      <c r="D694">
        <v>328.66</v>
      </c>
      <c r="E694">
        <v>558.07000000000005</v>
      </c>
      <c r="F694">
        <v>-229.41</v>
      </c>
      <c r="G694" t="s">
        <v>22</v>
      </c>
      <c r="H694">
        <f t="shared" si="10"/>
        <v>7</v>
      </c>
    </row>
    <row r="695" spans="1:8">
      <c r="A695" s="1">
        <v>46203</v>
      </c>
      <c r="B695" t="s">
        <v>23</v>
      </c>
      <c r="C695" t="s">
        <v>21</v>
      </c>
      <c r="D695">
        <v>305.69</v>
      </c>
      <c r="E695">
        <v>2271.0300000000002</v>
      </c>
      <c r="F695">
        <v>-1965.34</v>
      </c>
      <c r="G695" t="s">
        <v>22</v>
      </c>
      <c r="H695">
        <f t="shared" si="10"/>
        <v>27</v>
      </c>
    </row>
    <row r="696" spans="1:8">
      <c r="A696" s="1">
        <v>46069</v>
      </c>
      <c r="B696" t="s">
        <v>20</v>
      </c>
      <c r="C696" t="s">
        <v>29</v>
      </c>
      <c r="D696">
        <v>1162.28</v>
      </c>
      <c r="E696">
        <v>314.91000000000003</v>
      </c>
      <c r="F696">
        <v>847.37</v>
      </c>
      <c r="G696" t="s">
        <v>22</v>
      </c>
      <c r="H696">
        <f t="shared" si="10"/>
        <v>8</v>
      </c>
    </row>
    <row r="697" spans="1:8">
      <c r="A697" s="1">
        <v>46157</v>
      </c>
      <c r="B697" t="s">
        <v>20</v>
      </c>
      <c r="C697" t="s">
        <v>31</v>
      </c>
      <c r="D697">
        <v>2025.22</v>
      </c>
      <c r="E697">
        <v>1302.8900000000001</v>
      </c>
      <c r="F697">
        <v>722.33</v>
      </c>
      <c r="G697" t="s">
        <v>22</v>
      </c>
      <c r="H697">
        <f t="shared" si="10"/>
        <v>20</v>
      </c>
    </row>
    <row r="698" spans="1:8">
      <c r="A698" s="1">
        <v>46066</v>
      </c>
      <c r="B698" t="s">
        <v>23</v>
      </c>
      <c r="C698" t="s">
        <v>29</v>
      </c>
      <c r="D698">
        <v>2183.91</v>
      </c>
      <c r="E698">
        <v>371.38</v>
      </c>
      <c r="F698">
        <v>1812.53</v>
      </c>
      <c r="G698" t="s">
        <v>22</v>
      </c>
      <c r="H698">
        <f t="shared" si="10"/>
        <v>7</v>
      </c>
    </row>
    <row r="699" spans="1:8">
      <c r="A699" s="1">
        <v>46065</v>
      </c>
      <c r="B699" t="s">
        <v>23</v>
      </c>
      <c r="C699" t="s">
        <v>28</v>
      </c>
      <c r="D699">
        <v>380.16</v>
      </c>
      <c r="E699">
        <v>206.42</v>
      </c>
      <c r="F699">
        <v>173.74</v>
      </c>
      <c r="G699" t="s">
        <v>22</v>
      </c>
      <c r="H699">
        <f t="shared" si="10"/>
        <v>7</v>
      </c>
    </row>
    <row r="700" spans="1:8">
      <c r="A700" s="1">
        <v>46203</v>
      </c>
      <c r="B700" t="s">
        <v>23</v>
      </c>
      <c r="C700" t="s">
        <v>25</v>
      </c>
      <c r="D700">
        <v>1119.1500000000001</v>
      </c>
      <c r="E700">
        <v>560.20000000000005</v>
      </c>
      <c r="F700">
        <v>558.95000000000005</v>
      </c>
      <c r="G700" t="s">
        <v>22</v>
      </c>
      <c r="H700">
        <f t="shared" si="10"/>
        <v>27</v>
      </c>
    </row>
    <row r="701" spans="1:8">
      <c r="A701" s="1">
        <v>46056</v>
      </c>
      <c r="B701" t="s">
        <v>23</v>
      </c>
      <c r="C701" t="s">
        <v>28</v>
      </c>
      <c r="D701">
        <v>2599.7800000000002</v>
      </c>
      <c r="E701">
        <v>1039.9000000000001</v>
      </c>
      <c r="F701">
        <v>1559.88</v>
      </c>
      <c r="G701" t="s">
        <v>22</v>
      </c>
      <c r="H701">
        <f t="shared" si="10"/>
        <v>6</v>
      </c>
    </row>
    <row r="702" spans="1:8">
      <c r="A702" s="1">
        <v>46184</v>
      </c>
      <c r="B702" t="s">
        <v>23</v>
      </c>
      <c r="C702" t="s">
        <v>28</v>
      </c>
      <c r="D702">
        <v>739.62</v>
      </c>
      <c r="E702">
        <v>892.81</v>
      </c>
      <c r="F702">
        <v>-153.19</v>
      </c>
      <c r="G702" t="s">
        <v>22</v>
      </c>
      <c r="H702">
        <f t="shared" si="10"/>
        <v>24</v>
      </c>
    </row>
    <row r="703" spans="1:8">
      <c r="A703" s="1">
        <v>46100</v>
      </c>
      <c r="B703" t="s">
        <v>23</v>
      </c>
      <c r="C703" t="s">
        <v>30</v>
      </c>
      <c r="D703">
        <v>2062.9499999999998</v>
      </c>
      <c r="E703">
        <v>1042.6400000000001</v>
      </c>
      <c r="F703">
        <v>1020.31</v>
      </c>
      <c r="G703" t="s">
        <v>22</v>
      </c>
      <c r="H703">
        <f t="shared" si="10"/>
        <v>12</v>
      </c>
    </row>
    <row r="704" spans="1:8">
      <c r="A704" s="1">
        <v>46028</v>
      </c>
      <c r="B704" t="s">
        <v>23</v>
      </c>
      <c r="C704" t="s">
        <v>29</v>
      </c>
      <c r="D704">
        <v>2593.58</v>
      </c>
      <c r="E704">
        <v>532</v>
      </c>
      <c r="F704">
        <v>2061.58</v>
      </c>
      <c r="G704" t="s">
        <v>22</v>
      </c>
      <c r="H704">
        <f t="shared" si="10"/>
        <v>2</v>
      </c>
    </row>
    <row r="705" spans="1:8">
      <c r="A705" s="1">
        <v>46079</v>
      </c>
      <c r="B705" t="s">
        <v>23</v>
      </c>
      <c r="C705" t="s">
        <v>21</v>
      </c>
      <c r="D705">
        <v>769.29</v>
      </c>
      <c r="E705">
        <v>1572.61</v>
      </c>
      <c r="F705">
        <v>-803.32</v>
      </c>
      <c r="G705" t="s">
        <v>22</v>
      </c>
      <c r="H705">
        <f t="shared" si="10"/>
        <v>9</v>
      </c>
    </row>
    <row r="706" spans="1:8">
      <c r="A706" s="1">
        <v>46041</v>
      </c>
      <c r="B706" t="s">
        <v>23</v>
      </c>
      <c r="C706" t="s">
        <v>28</v>
      </c>
      <c r="D706">
        <v>1000.54</v>
      </c>
      <c r="E706">
        <v>513.97</v>
      </c>
      <c r="F706">
        <v>486.57</v>
      </c>
      <c r="G706" t="s">
        <v>22</v>
      </c>
      <c r="H706">
        <f t="shared" ref="H706:H769" si="11">WEEKNUM(A706,2)</f>
        <v>4</v>
      </c>
    </row>
    <row r="707" spans="1:8">
      <c r="A707" s="1">
        <v>46167</v>
      </c>
      <c r="B707" t="s">
        <v>20</v>
      </c>
      <c r="C707" t="s">
        <v>32</v>
      </c>
      <c r="D707">
        <v>1882.93</v>
      </c>
      <c r="E707">
        <v>1472.06</v>
      </c>
      <c r="F707">
        <v>410.87</v>
      </c>
      <c r="G707" t="s">
        <v>22</v>
      </c>
      <c r="H707">
        <f t="shared" si="11"/>
        <v>22</v>
      </c>
    </row>
    <row r="708" spans="1:8">
      <c r="A708" s="1">
        <v>46198</v>
      </c>
      <c r="B708" t="s">
        <v>20</v>
      </c>
      <c r="C708" t="s">
        <v>25</v>
      </c>
      <c r="D708">
        <v>1914.67</v>
      </c>
      <c r="E708">
        <v>1315.18</v>
      </c>
      <c r="F708">
        <v>599.49</v>
      </c>
      <c r="G708" t="s">
        <v>22</v>
      </c>
      <c r="H708">
        <f t="shared" si="11"/>
        <v>26</v>
      </c>
    </row>
    <row r="709" spans="1:8">
      <c r="A709" s="1">
        <v>46056</v>
      </c>
      <c r="B709" t="s">
        <v>23</v>
      </c>
      <c r="C709" t="s">
        <v>29</v>
      </c>
      <c r="D709">
        <v>1760.35</v>
      </c>
      <c r="E709">
        <v>2074.96</v>
      </c>
      <c r="F709">
        <v>-314.61</v>
      </c>
      <c r="G709" t="s">
        <v>22</v>
      </c>
      <c r="H709">
        <f t="shared" si="11"/>
        <v>6</v>
      </c>
    </row>
    <row r="710" spans="1:8">
      <c r="A710" s="1">
        <v>46189</v>
      </c>
      <c r="B710" t="s">
        <v>23</v>
      </c>
      <c r="C710" t="s">
        <v>25</v>
      </c>
      <c r="D710">
        <v>1085.77</v>
      </c>
      <c r="E710">
        <v>2480.61</v>
      </c>
      <c r="F710">
        <v>-1394.84</v>
      </c>
      <c r="G710" t="s">
        <v>22</v>
      </c>
      <c r="H710">
        <f t="shared" si="11"/>
        <v>25</v>
      </c>
    </row>
    <row r="711" spans="1:8">
      <c r="A711" s="1">
        <v>46093</v>
      </c>
      <c r="B711" t="s">
        <v>20</v>
      </c>
      <c r="C711" t="s">
        <v>31</v>
      </c>
      <c r="D711">
        <v>2111.08</v>
      </c>
      <c r="E711">
        <v>1301.45</v>
      </c>
      <c r="F711">
        <v>809.63</v>
      </c>
      <c r="G711" t="s">
        <v>22</v>
      </c>
      <c r="H711">
        <f t="shared" si="11"/>
        <v>11</v>
      </c>
    </row>
    <row r="712" spans="1:8">
      <c r="A712" s="1">
        <v>46136</v>
      </c>
      <c r="B712" t="s">
        <v>23</v>
      </c>
      <c r="C712" t="s">
        <v>31</v>
      </c>
      <c r="D712">
        <v>1353.08</v>
      </c>
      <c r="E712">
        <v>1458.16</v>
      </c>
      <c r="F712">
        <v>-105.08</v>
      </c>
      <c r="G712" t="s">
        <v>22</v>
      </c>
      <c r="H712">
        <f t="shared" si="11"/>
        <v>17</v>
      </c>
    </row>
    <row r="713" spans="1:8">
      <c r="A713" s="1">
        <v>46146</v>
      </c>
      <c r="B713" t="s">
        <v>23</v>
      </c>
      <c r="C713" t="s">
        <v>25</v>
      </c>
      <c r="D713">
        <v>2428.29</v>
      </c>
      <c r="E713">
        <v>1004.1</v>
      </c>
      <c r="F713">
        <v>1424.19</v>
      </c>
      <c r="G713" t="s">
        <v>22</v>
      </c>
      <c r="H713">
        <f t="shared" si="11"/>
        <v>19</v>
      </c>
    </row>
    <row r="714" spans="1:8">
      <c r="A714" s="1">
        <v>46120</v>
      </c>
      <c r="B714" t="s">
        <v>23</v>
      </c>
      <c r="C714" t="s">
        <v>25</v>
      </c>
      <c r="D714">
        <v>2552.0700000000002</v>
      </c>
      <c r="E714">
        <v>2474.9699999999998</v>
      </c>
      <c r="F714">
        <v>77.099999999999994</v>
      </c>
      <c r="G714" t="s">
        <v>22</v>
      </c>
      <c r="H714">
        <f t="shared" si="11"/>
        <v>15</v>
      </c>
    </row>
    <row r="715" spans="1:8">
      <c r="A715" s="1">
        <v>46058</v>
      </c>
      <c r="B715" t="s">
        <v>23</v>
      </c>
      <c r="C715" t="s">
        <v>26</v>
      </c>
      <c r="D715">
        <v>567.17999999999995</v>
      </c>
      <c r="E715">
        <v>622.73</v>
      </c>
      <c r="F715">
        <v>-55.55</v>
      </c>
      <c r="G715" t="s">
        <v>22</v>
      </c>
      <c r="H715">
        <f t="shared" si="11"/>
        <v>6</v>
      </c>
    </row>
    <row r="716" spans="1:8">
      <c r="A716" s="1">
        <v>46113</v>
      </c>
      <c r="B716" t="s">
        <v>23</v>
      </c>
      <c r="C716" t="s">
        <v>32</v>
      </c>
      <c r="D716">
        <v>1399.59</v>
      </c>
      <c r="E716">
        <v>1486.53</v>
      </c>
      <c r="F716">
        <v>-86.940000000000055</v>
      </c>
      <c r="G716" t="s">
        <v>22</v>
      </c>
      <c r="H716">
        <f t="shared" si="11"/>
        <v>14</v>
      </c>
    </row>
    <row r="717" spans="1:8">
      <c r="A717" s="1">
        <v>46147</v>
      </c>
      <c r="B717" t="s">
        <v>23</v>
      </c>
      <c r="C717" t="s">
        <v>32</v>
      </c>
      <c r="D717">
        <v>408.17</v>
      </c>
      <c r="E717">
        <v>1806.21</v>
      </c>
      <c r="F717">
        <v>-1398.04</v>
      </c>
      <c r="G717" t="s">
        <v>22</v>
      </c>
      <c r="H717">
        <f t="shared" si="11"/>
        <v>19</v>
      </c>
    </row>
    <row r="718" spans="1:8">
      <c r="A718" s="1">
        <v>46122</v>
      </c>
      <c r="B718" t="s">
        <v>23</v>
      </c>
      <c r="C718" t="s">
        <v>32</v>
      </c>
      <c r="D718">
        <v>2145.23</v>
      </c>
      <c r="E718">
        <v>2522.15</v>
      </c>
      <c r="F718">
        <v>-376.92</v>
      </c>
      <c r="G718" t="s">
        <v>33</v>
      </c>
      <c r="H718">
        <f t="shared" si="11"/>
        <v>15</v>
      </c>
    </row>
    <row r="719" spans="1:8">
      <c r="A719" s="1">
        <v>46183</v>
      </c>
      <c r="B719" t="s">
        <v>23</v>
      </c>
      <c r="C719" t="s">
        <v>32</v>
      </c>
      <c r="D719">
        <v>2484.42</v>
      </c>
      <c r="E719">
        <v>1363.06</v>
      </c>
      <c r="F719">
        <v>1121.3599999999999</v>
      </c>
      <c r="G719" t="s">
        <v>22</v>
      </c>
      <c r="H719">
        <f t="shared" si="11"/>
        <v>24</v>
      </c>
    </row>
    <row r="720" spans="1:8">
      <c r="A720" s="1">
        <v>46071</v>
      </c>
      <c r="B720" t="s">
        <v>23</v>
      </c>
      <c r="C720" t="s">
        <v>25</v>
      </c>
      <c r="D720">
        <v>1700.98</v>
      </c>
      <c r="E720">
        <v>2023.98</v>
      </c>
      <c r="F720">
        <v>-323</v>
      </c>
      <c r="G720" t="s">
        <v>22</v>
      </c>
      <c r="H720">
        <f t="shared" si="11"/>
        <v>8</v>
      </c>
    </row>
    <row r="721" spans="1:8">
      <c r="A721" s="1">
        <v>46029</v>
      </c>
      <c r="B721" t="s">
        <v>20</v>
      </c>
      <c r="C721" t="s">
        <v>31</v>
      </c>
      <c r="D721">
        <v>932.32</v>
      </c>
      <c r="E721">
        <v>2192.0500000000002</v>
      </c>
      <c r="F721">
        <v>-1259.73</v>
      </c>
      <c r="G721" t="s">
        <v>22</v>
      </c>
      <c r="H721">
        <f t="shared" si="11"/>
        <v>2</v>
      </c>
    </row>
    <row r="722" spans="1:8">
      <c r="A722" s="1">
        <v>46185</v>
      </c>
      <c r="B722" t="s">
        <v>23</v>
      </c>
      <c r="C722" t="s">
        <v>25</v>
      </c>
      <c r="D722">
        <v>408.76</v>
      </c>
      <c r="E722">
        <v>2276.6999999999998</v>
      </c>
      <c r="F722">
        <v>-1867.94</v>
      </c>
      <c r="G722" t="s">
        <v>22</v>
      </c>
      <c r="H722">
        <f t="shared" si="11"/>
        <v>24</v>
      </c>
    </row>
    <row r="723" spans="1:8">
      <c r="A723" s="1">
        <v>46049</v>
      </c>
      <c r="B723" t="s">
        <v>20</v>
      </c>
      <c r="C723" t="s">
        <v>21</v>
      </c>
      <c r="D723">
        <v>1103.23</v>
      </c>
      <c r="E723">
        <v>1056.43</v>
      </c>
      <c r="F723">
        <v>46.8</v>
      </c>
      <c r="G723" t="s">
        <v>22</v>
      </c>
      <c r="H723">
        <f t="shared" si="11"/>
        <v>5</v>
      </c>
    </row>
    <row r="724" spans="1:8">
      <c r="A724" s="1">
        <v>46155</v>
      </c>
      <c r="B724" t="s">
        <v>23</v>
      </c>
      <c r="C724" t="s">
        <v>21</v>
      </c>
      <c r="D724">
        <v>2584.36</v>
      </c>
      <c r="E724">
        <v>761.99</v>
      </c>
      <c r="F724">
        <v>1822.37</v>
      </c>
      <c r="G724" t="s">
        <v>22</v>
      </c>
      <c r="H724">
        <f t="shared" si="11"/>
        <v>20</v>
      </c>
    </row>
    <row r="725" spans="1:8">
      <c r="A725" s="1">
        <v>46197</v>
      </c>
      <c r="B725" t="s">
        <v>20</v>
      </c>
      <c r="C725" t="s">
        <v>21</v>
      </c>
      <c r="D725">
        <v>1380.02</v>
      </c>
      <c r="E725">
        <v>1395.57</v>
      </c>
      <c r="F725">
        <v>-15.55</v>
      </c>
      <c r="G725" t="s">
        <v>22</v>
      </c>
      <c r="H725">
        <f t="shared" si="11"/>
        <v>26</v>
      </c>
    </row>
    <row r="726" spans="1:8">
      <c r="A726" s="1">
        <v>46128</v>
      </c>
      <c r="B726" t="s">
        <v>20</v>
      </c>
      <c r="C726" t="s">
        <v>30</v>
      </c>
      <c r="D726">
        <v>2066.21</v>
      </c>
      <c r="E726">
        <v>612.21</v>
      </c>
      <c r="F726">
        <v>1454</v>
      </c>
      <c r="G726" t="s">
        <v>22</v>
      </c>
      <c r="H726">
        <f t="shared" si="11"/>
        <v>16</v>
      </c>
    </row>
    <row r="727" spans="1:8">
      <c r="A727" s="1">
        <v>46119</v>
      </c>
      <c r="B727" t="s">
        <v>20</v>
      </c>
      <c r="C727" t="s">
        <v>24</v>
      </c>
      <c r="D727">
        <v>1788.65</v>
      </c>
      <c r="E727">
        <v>1045.75</v>
      </c>
      <c r="F727">
        <v>742.9</v>
      </c>
      <c r="G727" t="s">
        <v>22</v>
      </c>
      <c r="H727">
        <f t="shared" si="11"/>
        <v>15</v>
      </c>
    </row>
    <row r="728" spans="1:8">
      <c r="A728" s="1">
        <v>46098</v>
      </c>
      <c r="B728" t="s">
        <v>20</v>
      </c>
      <c r="C728" t="s">
        <v>26</v>
      </c>
      <c r="D728">
        <v>383.33</v>
      </c>
      <c r="E728">
        <v>1031.32</v>
      </c>
      <c r="F728">
        <v>-647.99</v>
      </c>
      <c r="G728" t="s">
        <v>22</v>
      </c>
      <c r="H728">
        <f t="shared" si="11"/>
        <v>12</v>
      </c>
    </row>
    <row r="729" spans="1:8">
      <c r="A729" s="1">
        <v>46078</v>
      </c>
      <c r="B729" t="s">
        <v>20</v>
      </c>
      <c r="C729" t="s">
        <v>26</v>
      </c>
      <c r="D729">
        <v>2002.02</v>
      </c>
      <c r="E729">
        <v>244.28</v>
      </c>
      <c r="F729">
        <v>1757.74</v>
      </c>
      <c r="G729" t="s">
        <v>22</v>
      </c>
      <c r="H729">
        <f t="shared" si="11"/>
        <v>9</v>
      </c>
    </row>
    <row r="730" spans="1:8">
      <c r="A730" s="1">
        <v>46063</v>
      </c>
      <c r="B730" t="s">
        <v>23</v>
      </c>
      <c r="C730" t="s">
        <v>31</v>
      </c>
      <c r="D730">
        <v>665.88</v>
      </c>
      <c r="E730">
        <v>745.96</v>
      </c>
      <c r="F730">
        <v>-80.08</v>
      </c>
      <c r="G730" t="s">
        <v>22</v>
      </c>
      <c r="H730">
        <f t="shared" si="11"/>
        <v>7</v>
      </c>
    </row>
    <row r="731" spans="1:8">
      <c r="A731" s="1">
        <v>46169</v>
      </c>
      <c r="B731" t="s">
        <v>23</v>
      </c>
      <c r="C731" t="s">
        <v>26</v>
      </c>
      <c r="D731">
        <v>2458.7399999999998</v>
      </c>
      <c r="E731">
        <v>1236.44</v>
      </c>
      <c r="F731">
        <v>1222.3</v>
      </c>
      <c r="G731" t="s">
        <v>22</v>
      </c>
      <c r="H731">
        <f t="shared" si="11"/>
        <v>22</v>
      </c>
    </row>
    <row r="732" spans="1:8">
      <c r="A732" s="1">
        <v>46097</v>
      </c>
      <c r="B732" t="s">
        <v>20</v>
      </c>
      <c r="C732" t="s">
        <v>31</v>
      </c>
      <c r="D732">
        <v>440.84</v>
      </c>
      <c r="E732">
        <v>1448</v>
      </c>
      <c r="F732">
        <v>-1007.16</v>
      </c>
      <c r="G732" t="s">
        <v>22</v>
      </c>
      <c r="H732">
        <f t="shared" si="11"/>
        <v>12</v>
      </c>
    </row>
    <row r="733" spans="1:8">
      <c r="A733" s="1">
        <v>46034</v>
      </c>
      <c r="B733" t="s">
        <v>20</v>
      </c>
      <c r="C733" t="s">
        <v>30</v>
      </c>
      <c r="D733">
        <v>295.54000000000002</v>
      </c>
      <c r="E733">
        <v>1443.76</v>
      </c>
      <c r="F733">
        <v>-1148.22</v>
      </c>
      <c r="G733" t="s">
        <v>22</v>
      </c>
      <c r="H733">
        <f t="shared" si="11"/>
        <v>3</v>
      </c>
    </row>
    <row r="734" spans="1:8">
      <c r="A734" s="1">
        <v>46118</v>
      </c>
      <c r="B734" t="s">
        <v>20</v>
      </c>
      <c r="C734" t="s">
        <v>32</v>
      </c>
      <c r="D734">
        <v>1747.24</v>
      </c>
      <c r="E734">
        <v>1102.48</v>
      </c>
      <c r="F734">
        <v>644.76</v>
      </c>
      <c r="G734" t="s">
        <v>22</v>
      </c>
      <c r="H734">
        <f t="shared" si="11"/>
        <v>15</v>
      </c>
    </row>
    <row r="735" spans="1:8">
      <c r="A735" s="1">
        <v>46029</v>
      </c>
      <c r="B735" t="s">
        <v>23</v>
      </c>
      <c r="C735" t="s">
        <v>29</v>
      </c>
      <c r="D735">
        <v>2044.64</v>
      </c>
      <c r="E735">
        <v>1016.42</v>
      </c>
      <c r="F735">
        <v>1028.22</v>
      </c>
      <c r="G735" t="s">
        <v>22</v>
      </c>
      <c r="H735">
        <f t="shared" si="11"/>
        <v>2</v>
      </c>
    </row>
    <row r="736" spans="1:8">
      <c r="A736" s="1">
        <v>46072</v>
      </c>
      <c r="B736" t="s">
        <v>23</v>
      </c>
      <c r="C736" t="s">
        <v>28</v>
      </c>
      <c r="D736">
        <v>1333.33</v>
      </c>
      <c r="E736">
        <v>1296.29</v>
      </c>
      <c r="F736">
        <v>37.04</v>
      </c>
      <c r="G736" t="s">
        <v>22</v>
      </c>
      <c r="H736">
        <f t="shared" si="11"/>
        <v>8</v>
      </c>
    </row>
    <row r="737" spans="1:8">
      <c r="A737" s="1">
        <v>46035</v>
      </c>
      <c r="B737" t="s">
        <v>20</v>
      </c>
      <c r="C737" t="s">
        <v>25</v>
      </c>
      <c r="D737">
        <v>1916.43</v>
      </c>
      <c r="E737">
        <v>659.75</v>
      </c>
      <c r="F737">
        <v>1256.68</v>
      </c>
      <c r="G737" t="s">
        <v>22</v>
      </c>
      <c r="H737">
        <f t="shared" si="11"/>
        <v>3</v>
      </c>
    </row>
    <row r="738" spans="1:8">
      <c r="A738" s="1">
        <v>46063</v>
      </c>
      <c r="B738" t="s">
        <v>23</v>
      </c>
      <c r="C738" t="s">
        <v>29</v>
      </c>
      <c r="D738">
        <v>1481.92</v>
      </c>
      <c r="E738">
        <v>858.35</v>
      </c>
      <c r="F738">
        <v>623.57000000000005</v>
      </c>
      <c r="G738" t="s">
        <v>22</v>
      </c>
      <c r="H738">
        <f t="shared" si="11"/>
        <v>7</v>
      </c>
    </row>
    <row r="739" spans="1:8">
      <c r="A739" s="1">
        <v>46202</v>
      </c>
      <c r="B739" t="s">
        <v>20</v>
      </c>
      <c r="C739" t="s">
        <v>29</v>
      </c>
      <c r="D739">
        <v>1588.07</v>
      </c>
      <c r="E739">
        <v>485.86</v>
      </c>
      <c r="F739">
        <v>1102.21</v>
      </c>
      <c r="G739" t="s">
        <v>22</v>
      </c>
      <c r="H739">
        <f t="shared" si="11"/>
        <v>27</v>
      </c>
    </row>
    <row r="740" spans="1:8">
      <c r="A740" s="1">
        <v>46202</v>
      </c>
      <c r="B740" t="s">
        <v>23</v>
      </c>
      <c r="C740" t="s">
        <v>32</v>
      </c>
      <c r="D740">
        <v>2359.75</v>
      </c>
      <c r="E740">
        <v>1004.03</v>
      </c>
      <c r="F740">
        <v>1355.72</v>
      </c>
      <c r="G740" t="s">
        <v>22</v>
      </c>
      <c r="H740">
        <f t="shared" si="11"/>
        <v>27</v>
      </c>
    </row>
    <row r="741" spans="1:8">
      <c r="A741" s="1">
        <v>46029</v>
      </c>
      <c r="B741" t="s">
        <v>20</v>
      </c>
      <c r="C741" t="s">
        <v>29</v>
      </c>
      <c r="D741">
        <v>1436.26</v>
      </c>
      <c r="E741">
        <v>1773.76</v>
      </c>
      <c r="F741">
        <v>-337.5</v>
      </c>
      <c r="G741" t="s">
        <v>22</v>
      </c>
      <c r="H741">
        <f t="shared" si="11"/>
        <v>2</v>
      </c>
    </row>
    <row r="742" spans="1:8">
      <c r="A742" s="1">
        <v>46141</v>
      </c>
      <c r="B742" t="s">
        <v>20</v>
      </c>
      <c r="C742" t="s">
        <v>30</v>
      </c>
      <c r="D742">
        <v>1799.46</v>
      </c>
      <c r="E742">
        <v>745.43</v>
      </c>
      <c r="F742">
        <v>1054.03</v>
      </c>
      <c r="G742" t="s">
        <v>22</v>
      </c>
      <c r="H742">
        <f t="shared" si="11"/>
        <v>18</v>
      </c>
    </row>
    <row r="743" spans="1:8">
      <c r="A743" s="1">
        <v>46132</v>
      </c>
      <c r="B743" t="s">
        <v>23</v>
      </c>
      <c r="C743" t="s">
        <v>28</v>
      </c>
      <c r="D743">
        <v>896.51</v>
      </c>
      <c r="E743">
        <v>1121.96</v>
      </c>
      <c r="F743">
        <v>-225.45</v>
      </c>
      <c r="G743" t="s">
        <v>22</v>
      </c>
      <c r="H743">
        <f t="shared" si="11"/>
        <v>17</v>
      </c>
    </row>
    <row r="744" spans="1:8">
      <c r="A744" s="1">
        <v>46051</v>
      </c>
      <c r="B744" t="s">
        <v>20</v>
      </c>
      <c r="C744" t="s">
        <v>25</v>
      </c>
      <c r="D744">
        <v>1102.52</v>
      </c>
      <c r="E744">
        <v>1238.82</v>
      </c>
      <c r="F744">
        <v>-136.30000000000001</v>
      </c>
      <c r="G744" t="s">
        <v>22</v>
      </c>
      <c r="H744">
        <f t="shared" si="11"/>
        <v>5</v>
      </c>
    </row>
    <row r="745" spans="1:8">
      <c r="A745" s="1">
        <v>46105</v>
      </c>
      <c r="B745" t="s">
        <v>20</v>
      </c>
      <c r="C745" t="s">
        <v>29</v>
      </c>
      <c r="D745">
        <v>1474.56</v>
      </c>
      <c r="E745">
        <v>230.24</v>
      </c>
      <c r="F745">
        <v>1244.32</v>
      </c>
      <c r="G745" t="s">
        <v>22</v>
      </c>
      <c r="H745">
        <f t="shared" si="11"/>
        <v>13</v>
      </c>
    </row>
    <row r="746" spans="1:8">
      <c r="A746" s="1">
        <v>46128</v>
      </c>
      <c r="B746" t="s">
        <v>20</v>
      </c>
      <c r="C746" t="s">
        <v>32</v>
      </c>
      <c r="D746">
        <v>2092.34</v>
      </c>
      <c r="E746">
        <v>1213.74</v>
      </c>
      <c r="F746">
        <v>878.6</v>
      </c>
      <c r="G746" t="s">
        <v>22</v>
      </c>
      <c r="H746">
        <f t="shared" si="11"/>
        <v>16</v>
      </c>
    </row>
    <row r="747" spans="1:8">
      <c r="A747" s="1">
        <v>46170</v>
      </c>
      <c r="B747" t="s">
        <v>20</v>
      </c>
      <c r="C747" t="s">
        <v>32</v>
      </c>
      <c r="D747">
        <v>1666.29</v>
      </c>
      <c r="E747">
        <v>799.19</v>
      </c>
      <c r="F747">
        <v>867.1</v>
      </c>
      <c r="G747" t="s">
        <v>22</v>
      </c>
      <c r="H747">
        <f t="shared" si="11"/>
        <v>22</v>
      </c>
    </row>
    <row r="748" spans="1:8">
      <c r="A748" s="1">
        <v>46183</v>
      </c>
      <c r="B748" t="s">
        <v>20</v>
      </c>
      <c r="C748" t="s">
        <v>24</v>
      </c>
      <c r="D748">
        <v>1251.6300000000001</v>
      </c>
      <c r="E748">
        <v>2034.28</v>
      </c>
      <c r="F748">
        <v>-782.65</v>
      </c>
      <c r="G748" t="s">
        <v>22</v>
      </c>
      <c r="H748">
        <f t="shared" si="11"/>
        <v>24</v>
      </c>
    </row>
    <row r="749" spans="1:8">
      <c r="A749" s="1">
        <v>46036</v>
      </c>
      <c r="B749" t="s">
        <v>20</v>
      </c>
      <c r="C749" t="s">
        <v>30</v>
      </c>
      <c r="D749">
        <v>2169.88</v>
      </c>
      <c r="E749">
        <v>693.67</v>
      </c>
      <c r="F749">
        <v>1476.21</v>
      </c>
      <c r="G749" t="s">
        <v>22</v>
      </c>
      <c r="H749">
        <f t="shared" si="11"/>
        <v>3</v>
      </c>
    </row>
    <row r="750" spans="1:8">
      <c r="A750" s="1">
        <v>46056</v>
      </c>
      <c r="B750" t="s">
        <v>20</v>
      </c>
      <c r="C750" t="s">
        <v>25</v>
      </c>
      <c r="D750">
        <v>522.54</v>
      </c>
      <c r="E750">
        <v>683.32</v>
      </c>
      <c r="F750">
        <v>-160.78</v>
      </c>
      <c r="G750" t="s">
        <v>22</v>
      </c>
      <c r="H750">
        <f t="shared" si="11"/>
        <v>6</v>
      </c>
    </row>
    <row r="751" spans="1:8">
      <c r="A751" s="1">
        <v>46129</v>
      </c>
      <c r="B751" t="s">
        <v>23</v>
      </c>
      <c r="C751" t="s">
        <v>25</v>
      </c>
      <c r="D751">
        <v>925.03</v>
      </c>
      <c r="E751">
        <v>787.71</v>
      </c>
      <c r="F751">
        <v>137.32</v>
      </c>
      <c r="G751" t="s">
        <v>22</v>
      </c>
      <c r="H751">
        <f t="shared" si="11"/>
        <v>16</v>
      </c>
    </row>
    <row r="752" spans="1:8">
      <c r="A752" s="1">
        <v>46034</v>
      </c>
      <c r="B752" t="s">
        <v>23</v>
      </c>
      <c r="C752" t="s">
        <v>26</v>
      </c>
      <c r="D752">
        <v>1781.56</v>
      </c>
      <c r="E752">
        <v>1050.31</v>
      </c>
      <c r="F752">
        <v>731.25</v>
      </c>
      <c r="G752" t="s">
        <v>22</v>
      </c>
      <c r="H752">
        <f t="shared" si="11"/>
        <v>3</v>
      </c>
    </row>
    <row r="753" spans="1:8">
      <c r="A753" s="1">
        <v>46098</v>
      </c>
      <c r="B753" t="s">
        <v>23</v>
      </c>
      <c r="C753" t="s">
        <v>25</v>
      </c>
      <c r="D753">
        <v>813.25</v>
      </c>
      <c r="E753">
        <v>987.49</v>
      </c>
      <c r="F753">
        <v>-174.24</v>
      </c>
      <c r="G753" t="s">
        <v>22</v>
      </c>
      <c r="H753">
        <f t="shared" si="11"/>
        <v>12</v>
      </c>
    </row>
    <row r="754" spans="1:8">
      <c r="A754" s="1">
        <v>46129</v>
      </c>
      <c r="B754" t="s">
        <v>23</v>
      </c>
      <c r="C754" t="s">
        <v>26</v>
      </c>
      <c r="D754">
        <v>2137.64</v>
      </c>
      <c r="E754">
        <v>1174.6199999999999</v>
      </c>
      <c r="F754">
        <v>963.02</v>
      </c>
      <c r="G754" t="s">
        <v>22</v>
      </c>
      <c r="H754">
        <f t="shared" si="11"/>
        <v>16</v>
      </c>
    </row>
    <row r="755" spans="1:8">
      <c r="A755" s="1">
        <v>46122</v>
      </c>
      <c r="B755" t="s">
        <v>20</v>
      </c>
      <c r="C755" t="s">
        <v>25</v>
      </c>
      <c r="D755">
        <v>1738.68</v>
      </c>
      <c r="E755">
        <v>1593.28</v>
      </c>
      <c r="F755">
        <v>145.4</v>
      </c>
      <c r="G755" t="s">
        <v>22</v>
      </c>
      <c r="H755">
        <f t="shared" si="11"/>
        <v>15</v>
      </c>
    </row>
    <row r="756" spans="1:8">
      <c r="A756" s="1">
        <v>46176</v>
      </c>
      <c r="B756" t="s">
        <v>23</v>
      </c>
      <c r="C756" t="s">
        <v>31</v>
      </c>
      <c r="D756">
        <v>1883.92</v>
      </c>
      <c r="E756">
        <v>2149.5100000000002</v>
      </c>
      <c r="F756">
        <v>-265.58999999999997</v>
      </c>
      <c r="G756" t="s">
        <v>22</v>
      </c>
      <c r="H756">
        <f t="shared" si="11"/>
        <v>23</v>
      </c>
    </row>
    <row r="757" spans="1:8">
      <c r="A757" s="1">
        <v>46105</v>
      </c>
      <c r="B757" t="s">
        <v>23</v>
      </c>
      <c r="C757" t="s">
        <v>32</v>
      </c>
      <c r="D757">
        <v>1634.93</v>
      </c>
      <c r="E757">
        <v>2094.14</v>
      </c>
      <c r="F757">
        <v>-459.21</v>
      </c>
      <c r="G757" t="s">
        <v>22</v>
      </c>
      <c r="H757">
        <f t="shared" si="11"/>
        <v>13</v>
      </c>
    </row>
    <row r="758" spans="1:8">
      <c r="A758" s="1">
        <v>46202</v>
      </c>
      <c r="B758" t="s">
        <v>20</v>
      </c>
      <c r="C758" t="s">
        <v>32</v>
      </c>
      <c r="D758">
        <v>1755.12</v>
      </c>
      <c r="E758">
        <v>1627.57</v>
      </c>
      <c r="F758">
        <v>127.55</v>
      </c>
      <c r="G758" t="s">
        <v>22</v>
      </c>
      <c r="H758">
        <f t="shared" si="11"/>
        <v>27</v>
      </c>
    </row>
    <row r="759" spans="1:8">
      <c r="A759" s="1">
        <v>46113</v>
      </c>
      <c r="B759" t="s">
        <v>20</v>
      </c>
      <c r="C759" t="s">
        <v>25</v>
      </c>
      <c r="D759">
        <v>2077.46</v>
      </c>
      <c r="E759">
        <v>1398.2</v>
      </c>
      <c r="F759">
        <v>679.26</v>
      </c>
      <c r="G759" t="s">
        <v>22</v>
      </c>
      <c r="H759">
        <f t="shared" si="11"/>
        <v>14</v>
      </c>
    </row>
    <row r="760" spans="1:8">
      <c r="A760" s="1">
        <v>46062</v>
      </c>
      <c r="B760" t="s">
        <v>20</v>
      </c>
      <c r="C760" t="s">
        <v>30</v>
      </c>
      <c r="D760">
        <v>1288.1099999999999</v>
      </c>
      <c r="E760">
        <v>642.66</v>
      </c>
      <c r="F760">
        <v>645.45000000000005</v>
      </c>
      <c r="G760" t="s">
        <v>22</v>
      </c>
      <c r="H760">
        <f t="shared" si="11"/>
        <v>7</v>
      </c>
    </row>
    <row r="761" spans="1:8">
      <c r="A761" s="1">
        <v>46041</v>
      </c>
      <c r="B761" t="s">
        <v>23</v>
      </c>
      <c r="C761" t="s">
        <v>26</v>
      </c>
      <c r="D761">
        <v>2190.44</v>
      </c>
      <c r="E761">
        <v>305.81</v>
      </c>
      <c r="F761">
        <v>1884.63</v>
      </c>
      <c r="G761" t="s">
        <v>22</v>
      </c>
      <c r="H761">
        <f t="shared" si="11"/>
        <v>4</v>
      </c>
    </row>
    <row r="762" spans="1:8">
      <c r="A762" s="1">
        <v>46157</v>
      </c>
      <c r="B762" t="s">
        <v>20</v>
      </c>
      <c r="C762" t="s">
        <v>21</v>
      </c>
      <c r="D762">
        <v>1600.53</v>
      </c>
      <c r="E762">
        <v>1801.84</v>
      </c>
      <c r="F762">
        <v>-201.31</v>
      </c>
      <c r="G762" t="s">
        <v>22</v>
      </c>
      <c r="H762">
        <f t="shared" si="11"/>
        <v>20</v>
      </c>
    </row>
    <row r="763" spans="1:8">
      <c r="A763" s="1">
        <v>46149</v>
      </c>
      <c r="B763" t="s">
        <v>20</v>
      </c>
      <c r="C763" t="s">
        <v>30</v>
      </c>
      <c r="D763">
        <v>1588.98</v>
      </c>
      <c r="E763">
        <v>2021.23</v>
      </c>
      <c r="F763">
        <v>-432.25</v>
      </c>
      <c r="G763" t="s">
        <v>22</v>
      </c>
      <c r="H763">
        <f t="shared" si="11"/>
        <v>19</v>
      </c>
    </row>
    <row r="764" spans="1:8">
      <c r="A764" s="1">
        <v>46107</v>
      </c>
      <c r="B764" t="s">
        <v>20</v>
      </c>
      <c r="C764" t="s">
        <v>24</v>
      </c>
      <c r="D764">
        <v>850.55</v>
      </c>
      <c r="E764">
        <v>1720.62</v>
      </c>
      <c r="F764">
        <v>-870.07</v>
      </c>
      <c r="G764" t="s">
        <v>22</v>
      </c>
      <c r="H764">
        <f t="shared" si="11"/>
        <v>13</v>
      </c>
    </row>
    <row r="765" spans="1:8">
      <c r="A765" s="1">
        <v>46174</v>
      </c>
      <c r="B765" t="s">
        <v>23</v>
      </c>
      <c r="C765" t="s">
        <v>26</v>
      </c>
      <c r="D765">
        <v>899.48</v>
      </c>
      <c r="E765">
        <v>1867.9</v>
      </c>
      <c r="F765">
        <v>-968.42</v>
      </c>
      <c r="G765" t="s">
        <v>22</v>
      </c>
      <c r="H765">
        <f t="shared" si="11"/>
        <v>23</v>
      </c>
    </row>
    <row r="766" spans="1:8">
      <c r="A766" s="1">
        <v>46191</v>
      </c>
      <c r="B766" t="s">
        <v>23</v>
      </c>
      <c r="C766" t="s">
        <v>28</v>
      </c>
      <c r="D766">
        <v>1513.55</v>
      </c>
      <c r="E766">
        <v>513.42999999999995</v>
      </c>
      <c r="F766">
        <v>1000.12</v>
      </c>
      <c r="G766" t="s">
        <v>22</v>
      </c>
      <c r="H766">
        <f t="shared" si="11"/>
        <v>25</v>
      </c>
    </row>
    <row r="767" spans="1:8">
      <c r="A767" s="1">
        <v>46087</v>
      </c>
      <c r="B767" t="s">
        <v>20</v>
      </c>
      <c r="C767" t="s">
        <v>28</v>
      </c>
      <c r="D767">
        <v>584.82000000000005</v>
      </c>
      <c r="E767">
        <v>1460.96</v>
      </c>
      <c r="F767">
        <v>-876.14</v>
      </c>
      <c r="G767" t="s">
        <v>22</v>
      </c>
      <c r="H767">
        <f t="shared" si="11"/>
        <v>10</v>
      </c>
    </row>
    <row r="768" spans="1:8">
      <c r="A768" s="1">
        <v>46113</v>
      </c>
      <c r="B768" t="s">
        <v>23</v>
      </c>
      <c r="C768" t="s">
        <v>29</v>
      </c>
      <c r="D768">
        <v>492.44</v>
      </c>
      <c r="E768">
        <v>772.25</v>
      </c>
      <c r="F768">
        <v>-279.81</v>
      </c>
      <c r="G768" t="s">
        <v>22</v>
      </c>
      <c r="H768">
        <f t="shared" si="11"/>
        <v>14</v>
      </c>
    </row>
    <row r="769" spans="1:8">
      <c r="A769" s="1">
        <v>46177</v>
      </c>
      <c r="B769" t="s">
        <v>20</v>
      </c>
      <c r="C769" t="s">
        <v>32</v>
      </c>
      <c r="D769">
        <v>829.77</v>
      </c>
      <c r="E769">
        <v>1782.27</v>
      </c>
      <c r="F769">
        <v>-952.5</v>
      </c>
      <c r="G769" t="s">
        <v>22</v>
      </c>
      <c r="H769">
        <f t="shared" si="11"/>
        <v>23</v>
      </c>
    </row>
    <row r="770" spans="1:8">
      <c r="A770" s="1">
        <v>46083</v>
      </c>
      <c r="B770" t="s">
        <v>23</v>
      </c>
      <c r="C770" t="s">
        <v>29</v>
      </c>
      <c r="D770">
        <v>2264.34</v>
      </c>
      <c r="E770">
        <v>1938.12</v>
      </c>
      <c r="F770">
        <v>326.22000000000003</v>
      </c>
      <c r="G770" t="s">
        <v>22</v>
      </c>
      <c r="H770">
        <f t="shared" ref="H770:H833" si="12">WEEKNUM(A770,2)</f>
        <v>10</v>
      </c>
    </row>
    <row r="771" spans="1:8">
      <c r="A771" s="1">
        <v>46051</v>
      </c>
      <c r="B771" t="s">
        <v>20</v>
      </c>
      <c r="C771" t="s">
        <v>26</v>
      </c>
      <c r="D771">
        <v>398.79</v>
      </c>
      <c r="E771">
        <v>423.35</v>
      </c>
      <c r="F771">
        <v>-24.56</v>
      </c>
      <c r="G771" t="s">
        <v>22</v>
      </c>
      <c r="H771">
        <f t="shared" si="12"/>
        <v>5</v>
      </c>
    </row>
    <row r="772" spans="1:8">
      <c r="A772" s="1">
        <v>46069</v>
      </c>
      <c r="B772" t="s">
        <v>23</v>
      </c>
      <c r="C772" t="s">
        <v>28</v>
      </c>
      <c r="D772">
        <v>2265.2399999999998</v>
      </c>
      <c r="E772">
        <v>1609.1</v>
      </c>
      <c r="F772">
        <v>656.14</v>
      </c>
      <c r="G772" t="s">
        <v>22</v>
      </c>
      <c r="H772">
        <f t="shared" si="12"/>
        <v>8</v>
      </c>
    </row>
    <row r="773" spans="1:8">
      <c r="A773" s="1">
        <v>46042</v>
      </c>
      <c r="B773" t="s">
        <v>23</v>
      </c>
      <c r="C773" t="s">
        <v>31</v>
      </c>
      <c r="D773">
        <v>2299.31</v>
      </c>
      <c r="E773">
        <v>2537.21</v>
      </c>
      <c r="F773">
        <v>-237.9</v>
      </c>
      <c r="G773" t="s">
        <v>22</v>
      </c>
      <c r="H773">
        <f t="shared" si="12"/>
        <v>4</v>
      </c>
    </row>
    <row r="774" spans="1:8">
      <c r="A774" s="1">
        <v>46164</v>
      </c>
      <c r="B774" t="s">
        <v>23</v>
      </c>
      <c r="C774" t="s">
        <v>21</v>
      </c>
      <c r="D774">
        <v>2187.35</v>
      </c>
      <c r="E774">
        <v>393.48</v>
      </c>
      <c r="F774">
        <v>1793.87</v>
      </c>
      <c r="G774" t="s">
        <v>22</v>
      </c>
      <c r="H774">
        <f t="shared" si="12"/>
        <v>21</v>
      </c>
    </row>
    <row r="775" spans="1:8">
      <c r="A775" s="1">
        <v>46168</v>
      </c>
      <c r="B775" t="s">
        <v>20</v>
      </c>
      <c r="C775" t="s">
        <v>25</v>
      </c>
      <c r="D775">
        <v>1611.06</v>
      </c>
      <c r="E775">
        <v>966.51</v>
      </c>
      <c r="F775">
        <v>644.54999999999995</v>
      </c>
      <c r="G775" t="s">
        <v>22</v>
      </c>
      <c r="H775">
        <f t="shared" si="12"/>
        <v>22</v>
      </c>
    </row>
    <row r="776" spans="1:8">
      <c r="A776" s="1">
        <v>46125</v>
      </c>
      <c r="B776" t="s">
        <v>20</v>
      </c>
      <c r="C776" t="s">
        <v>31</v>
      </c>
      <c r="D776">
        <v>1609.21</v>
      </c>
      <c r="E776">
        <v>2051.02</v>
      </c>
      <c r="F776">
        <v>-441.81</v>
      </c>
      <c r="G776" t="s">
        <v>22</v>
      </c>
      <c r="H776">
        <f t="shared" si="12"/>
        <v>16</v>
      </c>
    </row>
    <row r="777" spans="1:8">
      <c r="A777" s="1">
        <v>46079</v>
      </c>
      <c r="B777" t="s">
        <v>20</v>
      </c>
      <c r="C777" t="s">
        <v>25</v>
      </c>
      <c r="D777">
        <v>1270.53</v>
      </c>
      <c r="E777">
        <v>301.42</v>
      </c>
      <c r="F777">
        <v>969.11</v>
      </c>
      <c r="G777" t="s">
        <v>22</v>
      </c>
      <c r="H777">
        <f t="shared" si="12"/>
        <v>9</v>
      </c>
    </row>
    <row r="778" spans="1:8">
      <c r="A778" s="1">
        <v>46086</v>
      </c>
      <c r="B778" t="s">
        <v>20</v>
      </c>
      <c r="C778" t="s">
        <v>29</v>
      </c>
      <c r="D778">
        <v>428.11</v>
      </c>
      <c r="E778">
        <v>1079.97</v>
      </c>
      <c r="F778">
        <v>-651.86</v>
      </c>
      <c r="G778" t="s">
        <v>22</v>
      </c>
      <c r="H778">
        <f t="shared" si="12"/>
        <v>10</v>
      </c>
    </row>
    <row r="779" spans="1:8">
      <c r="A779" s="1">
        <v>46084</v>
      </c>
      <c r="B779" t="s">
        <v>20</v>
      </c>
      <c r="C779" t="s">
        <v>25</v>
      </c>
      <c r="D779">
        <v>905.6</v>
      </c>
      <c r="E779">
        <v>1685.47</v>
      </c>
      <c r="F779">
        <v>-779.87</v>
      </c>
      <c r="G779" t="s">
        <v>22</v>
      </c>
      <c r="H779">
        <f t="shared" si="12"/>
        <v>10</v>
      </c>
    </row>
    <row r="780" spans="1:8">
      <c r="A780" s="1">
        <v>46091</v>
      </c>
      <c r="B780" t="s">
        <v>23</v>
      </c>
      <c r="C780" t="s">
        <v>27</v>
      </c>
      <c r="D780">
        <v>502.86</v>
      </c>
      <c r="E780">
        <v>1698.36</v>
      </c>
      <c r="F780">
        <v>-1195.5</v>
      </c>
      <c r="G780" t="s">
        <v>22</v>
      </c>
      <c r="H780">
        <f t="shared" si="12"/>
        <v>11</v>
      </c>
    </row>
    <row r="781" spans="1:8">
      <c r="A781" s="1">
        <v>46027</v>
      </c>
      <c r="B781" t="s">
        <v>23</v>
      </c>
      <c r="C781" t="s">
        <v>21</v>
      </c>
      <c r="D781">
        <v>727.08</v>
      </c>
      <c r="E781">
        <v>978.28</v>
      </c>
      <c r="F781">
        <v>-251.2</v>
      </c>
      <c r="G781" t="s">
        <v>22</v>
      </c>
      <c r="H781">
        <f t="shared" si="12"/>
        <v>2</v>
      </c>
    </row>
    <row r="782" spans="1:8">
      <c r="A782" s="1">
        <v>46098</v>
      </c>
      <c r="B782" t="s">
        <v>23</v>
      </c>
      <c r="C782" t="s">
        <v>24</v>
      </c>
      <c r="D782">
        <v>706.96</v>
      </c>
      <c r="E782">
        <v>529.36</v>
      </c>
      <c r="F782">
        <v>177.6</v>
      </c>
      <c r="G782" t="s">
        <v>22</v>
      </c>
      <c r="H782">
        <f t="shared" si="12"/>
        <v>12</v>
      </c>
    </row>
    <row r="783" spans="1:8">
      <c r="A783" s="1">
        <v>46077</v>
      </c>
      <c r="B783" t="s">
        <v>20</v>
      </c>
      <c r="C783" t="s">
        <v>24</v>
      </c>
      <c r="D783">
        <v>1911.65</v>
      </c>
      <c r="E783">
        <v>929.02</v>
      </c>
      <c r="F783">
        <v>982.63000000000011</v>
      </c>
      <c r="G783" t="s">
        <v>22</v>
      </c>
      <c r="H783">
        <f t="shared" si="12"/>
        <v>9</v>
      </c>
    </row>
    <row r="784" spans="1:8">
      <c r="A784" s="1">
        <v>46177</v>
      </c>
      <c r="B784" t="s">
        <v>20</v>
      </c>
      <c r="C784" t="s">
        <v>24</v>
      </c>
      <c r="D784">
        <v>605.1</v>
      </c>
      <c r="E784">
        <v>1681.05</v>
      </c>
      <c r="F784">
        <v>-1075.95</v>
      </c>
      <c r="G784" t="s">
        <v>22</v>
      </c>
      <c r="H784">
        <f t="shared" si="12"/>
        <v>23</v>
      </c>
    </row>
    <row r="785" spans="1:8">
      <c r="A785" s="1">
        <v>46031</v>
      </c>
      <c r="B785" t="s">
        <v>23</v>
      </c>
      <c r="C785" t="s">
        <v>27</v>
      </c>
      <c r="D785">
        <v>739.27</v>
      </c>
      <c r="E785">
        <v>1011.41</v>
      </c>
      <c r="F785">
        <v>-272.14</v>
      </c>
      <c r="G785" t="s">
        <v>22</v>
      </c>
      <c r="H785">
        <f t="shared" si="12"/>
        <v>2</v>
      </c>
    </row>
    <row r="786" spans="1:8">
      <c r="A786" s="1">
        <v>46071</v>
      </c>
      <c r="B786" t="s">
        <v>20</v>
      </c>
      <c r="C786" t="s">
        <v>27</v>
      </c>
      <c r="D786">
        <v>387.64</v>
      </c>
      <c r="E786">
        <v>1733.72</v>
      </c>
      <c r="F786">
        <v>-1346.08</v>
      </c>
      <c r="G786" t="s">
        <v>22</v>
      </c>
      <c r="H786">
        <f t="shared" si="12"/>
        <v>8</v>
      </c>
    </row>
    <row r="787" spans="1:8">
      <c r="A787" s="1">
        <v>46167</v>
      </c>
      <c r="B787" t="s">
        <v>20</v>
      </c>
      <c r="C787" t="s">
        <v>26</v>
      </c>
      <c r="D787">
        <v>2146.37</v>
      </c>
      <c r="E787">
        <v>1984.32</v>
      </c>
      <c r="F787">
        <v>162.05000000000001</v>
      </c>
      <c r="G787" t="s">
        <v>22</v>
      </c>
      <c r="H787">
        <f t="shared" si="12"/>
        <v>22</v>
      </c>
    </row>
    <row r="788" spans="1:8">
      <c r="A788" s="1">
        <v>46090</v>
      </c>
      <c r="B788" t="s">
        <v>23</v>
      </c>
      <c r="C788" t="s">
        <v>24</v>
      </c>
      <c r="D788">
        <v>2067.2399999999998</v>
      </c>
      <c r="E788">
        <v>1431.77</v>
      </c>
      <c r="F788">
        <v>635.47</v>
      </c>
      <c r="G788" t="s">
        <v>22</v>
      </c>
      <c r="H788">
        <f t="shared" si="12"/>
        <v>11</v>
      </c>
    </row>
    <row r="789" spans="1:8">
      <c r="A789" s="1">
        <v>46104</v>
      </c>
      <c r="B789" t="s">
        <v>20</v>
      </c>
      <c r="C789" t="s">
        <v>26</v>
      </c>
      <c r="D789">
        <v>738.51</v>
      </c>
      <c r="E789">
        <v>1471.57</v>
      </c>
      <c r="F789">
        <v>-733.06</v>
      </c>
      <c r="G789" t="s">
        <v>22</v>
      </c>
      <c r="H789">
        <f t="shared" si="12"/>
        <v>13</v>
      </c>
    </row>
    <row r="790" spans="1:8">
      <c r="A790" s="1">
        <v>46030</v>
      </c>
      <c r="B790" t="s">
        <v>20</v>
      </c>
      <c r="C790" t="s">
        <v>24</v>
      </c>
      <c r="D790">
        <v>2104.67</v>
      </c>
      <c r="E790">
        <v>2040.99</v>
      </c>
      <c r="F790">
        <v>63.68</v>
      </c>
      <c r="G790" t="s">
        <v>22</v>
      </c>
      <c r="H790">
        <f t="shared" si="12"/>
        <v>2</v>
      </c>
    </row>
    <row r="791" spans="1:8">
      <c r="A791" s="1">
        <v>46105</v>
      </c>
      <c r="B791" t="s">
        <v>20</v>
      </c>
      <c r="C791" t="s">
        <v>25</v>
      </c>
      <c r="D791">
        <v>1812.48</v>
      </c>
      <c r="E791">
        <v>1866.62</v>
      </c>
      <c r="F791">
        <v>-54.14</v>
      </c>
      <c r="G791" t="s">
        <v>22</v>
      </c>
      <c r="H791">
        <f t="shared" si="12"/>
        <v>13</v>
      </c>
    </row>
    <row r="792" spans="1:8">
      <c r="A792" s="1">
        <v>46167</v>
      </c>
      <c r="B792" t="s">
        <v>23</v>
      </c>
      <c r="C792" t="s">
        <v>26</v>
      </c>
      <c r="D792">
        <v>1503.27</v>
      </c>
      <c r="E792">
        <v>1779.46</v>
      </c>
      <c r="F792">
        <v>-276.19</v>
      </c>
      <c r="G792" t="s">
        <v>22</v>
      </c>
      <c r="H792">
        <f t="shared" si="12"/>
        <v>22</v>
      </c>
    </row>
    <row r="793" spans="1:8">
      <c r="A793" s="1">
        <v>46164</v>
      </c>
      <c r="B793" t="s">
        <v>20</v>
      </c>
      <c r="C793" t="s">
        <v>32</v>
      </c>
      <c r="D793">
        <v>455.24</v>
      </c>
      <c r="E793">
        <v>543.46</v>
      </c>
      <c r="F793">
        <v>-88.22</v>
      </c>
      <c r="G793" t="s">
        <v>22</v>
      </c>
      <c r="H793">
        <f t="shared" si="12"/>
        <v>21</v>
      </c>
    </row>
    <row r="794" spans="1:8">
      <c r="A794" s="1">
        <v>46189</v>
      </c>
      <c r="B794" t="s">
        <v>20</v>
      </c>
      <c r="C794" t="s">
        <v>25</v>
      </c>
      <c r="D794">
        <v>1925.46</v>
      </c>
      <c r="E794">
        <v>661.84</v>
      </c>
      <c r="F794">
        <v>1263.6199999999999</v>
      </c>
      <c r="G794" t="s">
        <v>22</v>
      </c>
      <c r="H794">
        <f t="shared" si="12"/>
        <v>25</v>
      </c>
    </row>
    <row r="795" spans="1:8">
      <c r="A795" s="1">
        <v>46153</v>
      </c>
      <c r="B795" t="s">
        <v>20</v>
      </c>
      <c r="C795" t="s">
        <v>25</v>
      </c>
      <c r="D795">
        <v>1983.15</v>
      </c>
      <c r="E795">
        <v>2171.58</v>
      </c>
      <c r="F795">
        <v>-188.43</v>
      </c>
      <c r="G795" t="s">
        <v>22</v>
      </c>
      <c r="H795">
        <f t="shared" si="12"/>
        <v>20</v>
      </c>
    </row>
    <row r="796" spans="1:8">
      <c r="A796" s="1">
        <v>46052</v>
      </c>
      <c r="B796" t="s">
        <v>20</v>
      </c>
      <c r="C796" t="s">
        <v>28</v>
      </c>
      <c r="D796">
        <v>624.09</v>
      </c>
      <c r="E796">
        <v>1572.6</v>
      </c>
      <c r="F796">
        <v>-948.51</v>
      </c>
      <c r="G796" t="s">
        <v>22</v>
      </c>
      <c r="H796">
        <f t="shared" si="12"/>
        <v>5</v>
      </c>
    </row>
    <row r="797" spans="1:8">
      <c r="A797" s="1">
        <v>46105</v>
      </c>
      <c r="B797" t="s">
        <v>20</v>
      </c>
      <c r="C797" t="s">
        <v>26</v>
      </c>
      <c r="D797">
        <v>2163.89</v>
      </c>
      <c r="E797">
        <v>322.87</v>
      </c>
      <c r="F797">
        <v>1841.02</v>
      </c>
      <c r="G797" t="s">
        <v>22</v>
      </c>
      <c r="H797">
        <f t="shared" si="12"/>
        <v>13</v>
      </c>
    </row>
    <row r="798" spans="1:8">
      <c r="A798" s="1">
        <v>46196</v>
      </c>
      <c r="B798" t="s">
        <v>23</v>
      </c>
      <c r="C798" t="s">
        <v>26</v>
      </c>
      <c r="D798">
        <v>2005.87</v>
      </c>
      <c r="E798">
        <v>1614.98</v>
      </c>
      <c r="F798">
        <v>390.89</v>
      </c>
      <c r="G798" t="s">
        <v>22</v>
      </c>
      <c r="H798">
        <f t="shared" si="12"/>
        <v>26</v>
      </c>
    </row>
    <row r="799" spans="1:8">
      <c r="A799" s="1">
        <v>46058</v>
      </c>
      <c r="B799" t="s">
        <v>20</v>
      </c>
      <c r="C799" t="s">
        <v>29</v>
      </c>
      <c r="D799">
        <v>1782.27</v>
      </c>
      <c r="E799">
        <v>1310.1600000000001</v>
      </c>
      <c r="F799">
        <v>472.11</v>
      </c>
      <c r="G799" t="s">
        <v>22</v>
      </c>
      <c r="H799">
        <f t="shared" si="12"/>
        <v>6</v>
      </c>
    </row>
    <row r="800" spans="1:8">
      <c r="A800" s="1">
        <v>46030</v>
      </c>
      <c r="B800" t="s">
        <v>20</v>
      </c>
      <c r="C800" t="s">
        <v>29</v>
      </c>
      <c r="D800">
        <v>916.52</v>
      </c>
      <c r="E800">
        <v>481.18</v>
      </c>
      <c r="F800">
        <v>435.34</v>
      </c>
      <c r="G800" t="s">
        <v>22</v>
      </c>
      <c r="H800">
        <f t="shared" si="12"/>
        <v>2</v>
      </c>
    </row>
    <row r="801" spans="1:8">
      <c r="A801" s="1">
        <v>46120</v>
      </c>
      <c r="B801" t="s">
        <v>23</v>
      </c>
      <c r="C801" t="s">
        <v>26</v>
      </c>
      <c r="D801">
        <v>2595.56</v>
      </c>
      <c r="E801">
        <v>858.93</v>
      </c>
      <c r="F801">
        <v>1736.63</v>
      </c>
      <c r="G801" t="s">
        <v>22</v>
      </c>
      <c r="H801">
        <f t="shared" si="12"/>
        <v>15</v>
      </c>
    </row>
    <row r="802" spans="1:8">
      <c r="A802" s="1">
        <v>46149</v>
      </c>
      <c r="B802" t="s">
        <v>23</v>
      </c>
      <c r="C802" t="s">
        <v>26</v>
      </c>
      <c r="D802">
        <v>2189.06</v>
      </c>
      <c r="E802">
        <v>2366.9299999999998</v>
      </c>
      <c r="F802">
        <v>-177.87</v>
      </c>
      <c r="G802" t="s">
        <v>22</v>
      </c>
      <c r="H802">
        <f t="shared" si="12"/>
        <v>19</v>
      </c>
    </row>
    <row r="803" spans="1:8">
      <c r="A803" s="1">
        <v>46122</v>
      </c>
      <c r="B803" t="s">
        <v>20</v>
      </c>
      <c r="C803" t="s">
        <v>27</v>
      </c>
      <c r="D803">
        <v>589.87</v>
      </c>
      <c r="E803">
        <v>1404.35</v>
      </c>
      <c r="F803">
        <v>-814.48</v>
      </c>
      <c r="G803" t="s">
        <v>22</v>
      </c>
      <c r="H803">
        <f t="shared" si="12"/>
        <v>15</v>
      </c>
    </row>
    <row r="804" spans="1:8">
      <c r="A804" s="1">
        <v>46160</v>
      </c>
      <c r="B804" t="s">
        <v>20</v>
      </c>
      <c r="C804" t="s">
        <v>21</v>
      </c>
      <c r="D804">
        <v>1932.42</v>
      </c>
      <c r="E804">
        <v>832.58</v>
      </c>
      <c r="F804">
        <v>1099.8399999999999</v>
      </c>
      <c r="G804" t="s">
        <v>22</v>
      </c>
      <c r="H804">
        <f t="shared" si="12"/>
        <v>21</v>
      </c>
    </row>
    <row r="805" spans="1:8">
      <c r="A805" s="1">
        <v>46100</v>
      </c>
      <c r="B805" t="s">
        <v>20</v>
      </c>
      <c r="C805" t="s">
        <v>27</v>
      </c>
      <c r="D805">
        <v>311.23</v>
      </c>
      <c r="E805">
        <v>1934.58</v>
      </c>
      <c r="F805">
        <v>-1623.35</v>
      </c>
      <c r="G805" t="s">
        <v>22</v>
      </c>
      <c r="H805">
        <f t="shared" si="12"/>
        <v>12</v>
      </c>
    </row>
    <row r="806" spans="1:8">
      <c r="A806" s="1">
        <v>46076</v>
      </c>
      <c r="B806" t="s">
        <v>23</v>
      </c>
      <c r="C806" t="s">
        <v>30</v>
      </c>
      <c r="D806">
        <v>1256.73</v>
      </c>
      <c r="E806">
        <v>1462.28</v>
      </c>
      <c r="F806">
        <v>-205.55</v>
      </c>
      <c r="G806" t="s">
        <v>22</v>
      </c>
      <c r="H806">
        <f t="shared" si="12"/>
        <v>9</v>
      </c>
    </row>
    <row r="807" spans="1:8">
      <c r="A807" s="1">
        <v>46106</v>
      </c>
      <c r="B807" t="s">
        <v>20</v>
      </c>
      <c r="C807" t="s">
        <v>28</v>
      </c>
      <c r="D807">
        <v>458.27</v>
      </c>
      <c r="E807">
        <v>317.08</v>
      </c>
      <c r="F807">
        <v>141.19</v>
      </c>
      <c r="G807" t="s">
        <v>22</v>
      </c>
      <c r="H807">
        <f t="shared" si="12"/>
        <v>13</v>
      </c>
    </row>
    <row r="808" spans="1:8">
      <c r="A808" s="1">
        <v>46092</v>
      </c>
      <c r="B808" t="s">
        <v>23</v>
      </c>
      <c r="C808" t="s">
        <v>27</v>
      </c>
      <c r="D808">
        <v>1951.07</v>
      </c>
      <c r="E808">
        <v>950.12</v>
      </c>
      <c r="F808">
        <v>1000.9499999999999</v>
      </c>
      <c r="G808" t="s">
        <v>22</v>
      </c>
      <c r="H808">
        <f t="shared" si="12"/>
        <v>11</v>
      </c>
    </row>
    <row r="809" spans="1:8">
      <c r="A809" s="1">
        <v>46134</v>
      </c>
      <c r="B809" t="s">
        <v>23</v>
      </c>
      <c r="C809" t="s">
        <v>30</v>
      </c>
      <c r="D809">
        <v>1410.21</v>
      </c>
      <c r="E809">
        <v>2034.57</v>
      </c>
      <c r="F809">
        <v>-624.36</v>
      </c>
      <c r="G809" t="s">
        <v>22</v>
      </c>
      <c r="H809">
        <f t="shared" si="12"/>
        <v>17</v>
      </c>
    </row>
    <row r="810" spans="1:8">
      <c r="A810" s="1">
        <v>46079</v>
      </c>
      <c r="B810" t="s">
        <v>23</v>
      </c>
      <c r="C810" t="s">
        <v>24</v>
      </c>
      <c r="D810">
        <v>1579.55</v>
      </c>
      <c r="E810">
        <v>2582.46</v>
      </c>
      <c r="F810">
        <v>-1002.91</v>
      </c>
      <c r="G810" t="s">
        <v>22</v>
      </c>
      <c r="H810">
        <f t="shared" si="12"/>
        <v>9</v>
      </c>
    </row>
    <row r="811" spans="1:8">
      <c r="A811" s="1">
        <v>46185</v>
      </c>
      <c r="B811" t="s">
        <v>20</v>
      </c>
      <c r="C811" t="s">
        <v>29</v>
      </c>
      <c r="D811">
        <v>1263.3699999999999</v>
      </c>
      <c r="E811">
        <v>2181.33</v>
      </c>
      <c r="F811">
        <v>-917.96</v>
      </c>
      <c r="G811" t="s">
        <v>22</v>
      </c>
      <c r="H811">
        <f t="shared" si="12"/>
        <v>24</v>
      </c>
    </row>
    <row r="812" spans="1:8">
      <c r="A812" s="1">
        <v>46043</v>
      </c>
      <c r="B812" t="s">
        <v>20</v>
      </c>
      <c r="C812" t="s">
        <v>31</v>
      </c>
      <c r="D812">
        <v>830.98</v>
      </c>
      <c r="E812">
        <v>2058.17</v>
      </c>
      <c r="F812">
        <v>-1227.19</v>
      </c>
      <c r="G812" t="s">
        <v>22</v>
      </c>
      <c r="H812">
        <f t="shared" si="12"/>
        <v>4</v>
      </c>
    </row>
    <row r="813" spans="1:8">
      <c r="A813" s="1">
        <v>46184</v>
      </c>
      <c r="B813" t="s">
        <v>20</v>
      </c>
      <c r="C813" t="s">
        <v>24</v>
      </c>
      <c r="D813">
        <v>988.73</v>
      </c>
      <c r="E813">
        <v>1158.04</v>
      </c>
      <c r="F813">
        <v>-169.31</v>
      </c>
      <c r="G813" t="s">
        <v>22</v>
      </c>
      <c r="H813">
        <f t="shared" si="12"/>
        <v>24</v>
      </c>
    </row>
    <row r="814" spans="1:8">
      <c r="A814" s="1">
        <v>46140</v>
      </c>
      <c r="B814" t="s">
        <v>20</v>
      </c>
      <c r="C814" t="s">
        <v>31</v>
      </c>
      <c r="D814">
        <v>1400.66</v>
      </c>
      <c r="E814">
        <v>544.14</v>
      </c>
      <c r="F814">
        <v>856.52</v>
      </c>
      <c r="G814" t="s">
        <v>22</v>
      </c>
      <c r="H814">
        <f t="shared" si="12"/>
        <v>18</v>
      </c>
    </row>
    <row r="815" spans="1:8">
      <c r="A815" s="1">
        <v>46044</v>
      </c>
      <c r="B815" t="s">
        <v>20</v>
      </c>
      <c r="C815" t="s">
        <v>21</v>
      </c>
      <c r="D815">
        <v>966.86</v>
      </c>
      <c r="E815">
        <v>721.14</v>
      </c>
      <c r="F815">
        <v>245.72</v>
      </c>
      <c r="G815" t="s">
        <v>22</v>
      </c>
      <c r="H815">
        <f t="shared" si="12"/>
        <v>4</v>
      </c>
    </row>
    <row r="816" spans="1:8">
      <c r="A816" s="1">
        <v>46043</v>
      </c>
      <c r="B816" t="s">
        <v>20</v>
      </c>
      <c r="C816" t="s">
        <v>32</v>
      </c>
      <c r="D816">
        <v>200.81</v>
      </c>
      <c r="E816">
        <v>1659.96</v>
      </c>
      <c r="F816">
        <v>-1459.15</v>
      </c>
      <c r="G816" t="s">
        <v>22</v>
      </c>
      <c r="H816">
        <f t="shared" si="12"/>
        <v>4</v>
      </c>
    </row>
    <row r="817" spans="1:8">
      <c r="A817" s="1">
        <v>46181</v>
      </c>
      <c r="B817" t="s">
        <v>20</v>
      </c>
      <c r="C817" t="s">
        <v>30</v>
      </c>
      <c r="D817">
        <v>1297.69</v>
      </c>
      <c r="E817">
        <v>2114.85</v>
      </c>
      <c r="F817">
        <v>-817.16</v>
      </c>
      <c r="G817" t="s">
        <v>22</v>
      </c>
      <c r="H817">
        <f t="shared" si="12"/>
        <v>24</v>
      </c>
    </row>
    <row r="818" spans="1:8">
      <c r="A818" s="1">
        <v>46142</v>
      </c>
      <c r="B818" t="s">
        <v>23</v>
      </c>
      <c r="C818" t="s">
        <v>32</v>
      </c>
      <c r="D818">
        <v>2240.8000000000002</v>
      </c>
      <c r="E818">
        <v>289.52</v>
      </c>
      <c r="F818">
        <v>1951.28</v>
      </c>
      <c r="G818" t="s">
        <v>22</v>
      </c>
      <c r="H818">
        <f t="shared" si="12"/>
        <v>18</v>
      </c>
    </row>
    <row r="819" spans="1:8">
      <c r="A819" s="1">
        <v>46146</v>
      </c>
      <c r="B819" t="s">
        <v>23</v>
      </c>
      <c r="C819" t="s">
        <v>29</v>
      </c>
      <c r="D819">
        <v>1458.36</v>
      </c>
      <c r="E819">
        <v>2334.2199999999998</v>
      </c>
      <c r="F819">
        <v>-875.86</v>
      </c>
      <c r="G819" t="s">
        <v>22</v>
      </c>
      <c r="H819">
        <f t="shared" si="12"/>
        <v>19</v>
      </c>
    </row>
    <row r="820" spans="1:8">
      <c r="A820" s="1">
        <v>46140</v>
      </c>
      <c r="B820" t="s">
        <v>23</v>
      </c>
      <c r="C820" t="s">
        <v>21</v>
      </c>
      <c r="D820">
        <v>2442.7600000000002</v>
      </c>
      <c r="E820">
        <v>1931.99</v>
      </c>
      <c r="F820">
        <v>510.77</v>
      </c>
      <c r="G820" t="s">
        <v>22</v>
      </c>
      <c r="H820">
        <f t="shared" si="12"/>
        <v>18</v>
      </c>
    </row>
    <row r="821" spans="1:8">
      <c r="A821" s="1">
        <v>46198</v>
      </c>
      <c r="B821" t="s">
        <v>23</v>
      </c>
      <c r="C821" t="s">
        <v>25</v>
      </c>
      <c r="D821">
        <v>345.13</v>
      </c>
      <c r="E821">
        <v>2094.3000000000002</v>
      </c>
      <c r="F821">
        <v>-1749.17</v>
      </c>
      <c r="G821" t="s">
        <v>22</v>
      </c>
      <c r="H821">
        <f t="shared" si="12"/>
        <v>26</v>
      </c>
    </row>
    <row r="822" spans="1:8">
      <c r="A822" s="1">
        <v>46055</v>
      </c>
      <c r="B822" t="s">
        <v>20</v>
      </c>
      <c r="C822" t="s">
        <v>25</v>
      </c>
      <c r="D822">
        <v>949.47</v>
      </c>
      <c r="E822">
        <v>1977.87</v>
      </c>
      <c r="F822">
        <v>-1028.4000000000001</v>
      </c>
      <c r="G822" t="s">
        <v>22</v>
      </c>
      <c r="H822">
        <f t="shared" si="12"/>
        <v>6</v>
      </c>
    </row>
    <row r="823" spans="1:8">
      <c r="A823" s="1">
        <v>46107</v>
      </c>
      <c r="B823" t="s">
        <v>20</v>
      </c>
      <c r="C823" t="s">
        <v>30</v>
      </c>
      <c r="D823">
        <v>1192.4000000000001</v>
      </c>
      <c r="E823">
        <v>187.37</v>
      </c>
      <c r="F823">
        <v>1005.03</v>
      </c>
      <c r="G823" t="s">
        <v>22</v>
      </c>
      <c r="H823">
        <f t="shared" si="12"/>
        <v>13</v>
      </c>
    </row>
    <row r="824" spans="1:8">
      <c r="A824" s="1">
        <v>46045</v>
      </c>
      <c r="B824" t="s">
        <v>20</v>
      </c>
      <c r="C824" t="s">
        <v>29</v>
      </c>
      <c r="D824">
        <v>240.99</v>
      </c>
      <c r="E824">
        <v>1043.92</v>
      </c>
      <c r="F824">
        <v>-802.93</v>
      </c>
      <c r="G824" t="s">
        <v>22</v>
      </c>
      <c r="H824">
        <f t="shared" si="12"/>
        <v>4</v>
      </c>
    </row>
    <row r="825" spans="1:8">
      <c r="A825" s="1">
        <v>46107</v>
      </c>
      <c r="B825" t="s">
        <v>23</v>
      </c>
      <c r="C825" t="s">
        <v>30</v>
      </c>
      <c r="D825">
        <v>2204.29</v>
      </c>
      <c r="E825">
        <v>2320.84</v>
      </c>
      <c r="F825">
        <v>-116.55</v>
      </c>
      <c r="G825" t="s">
        <v>22</v>
      </c>
      <c r="H825">
        <f t="shared" si="12"/>
        <v>13</v>
      </c>
    </row>
    <row r="826" spans="1:8">
      <c r="A826" s="1">
        <v>46184</v>
      </c>
      <c r="B826" t="s">
        <v>20</v>
      </c>
      <c r="C826" t="s">
        <v>26</v>
      </c>
      <c r="D826">
        <v>492.87</v>
      </c>
      <c r="E826">
        <v>1309.07</v>
      </c>
      <c r="F826">
        <v>-816.2</v>
      </c>
      <c r="G826" t="s">
        <v>22</v>
      </c>
      <c r="H826">
        <f t="shared" si="12"/>
        <v>24</v>
      </c>
    </row>
    <row r="827" spans="1:8">
      <c r="A827" s="1">
        <v>46146</v>
      </c>
      <c r="B827" t="s">
        <v>23</v>
      </c>
      <c r="C827" t="s">
        <v>28</v>
      </c>
      <c r="D827">
        <v>1290.44</v>
      </c>
      <c r="E827">
        <v>1739.15</v>
      </c>
      <c r="F827">
        <v>-448.71</v>
      </c>
      <c r="G827" t="s">
        <v>22</v>
      </c>
      <c r="H827">
        <f t="shared" si="12"/>
        <v>19</v>
      </c>
    </row>
    <row r="828" spans="1:8">
      <c r="A828" s="1">
        <v>46154</v>
      </c>
      <c r="B828" t="s">
        <v>20</v>
      </c>
      <c r="C828" t="s">
        <v>24</v>
      </c>
      <c r="D828">
        <v>1913.59</v>
      </c>
      <c r="E828">
        <v>393.2</v>
      </c>
      <c r="F828">
        <v>1520.39</v>
      </c>
      <c r="G828" t="s">
        <v>22</v>
      </c>
      <c r="H828">
        <f t="shared" si="12"/>
        <v>20</v>
      </c>
    </row>
    <row r="829" spans="1:8">
      <c r="A829" s="1">
        <v>46169</v>
      </c>
      <c r="B829" t="s">
        <v>20</v>
      </c>
      <c r="C829" t="s">
        <v>25</v>
      </c>
      <c r="D829">
        <v>1869.28</v>
      </c>
      <c r="E829">
        <v>848.22</v>
      </c>
      <c r="F829">
        <v>1021.06</v>
      </c>
      <c r="G829" t="s">
        <v>22</v>
      </c>
      <c r="H829">
        <f t="shared" si="12"/>
        <v>22</v>
      </c>
    </row>
    <row r="830" spans="1:8">
      <c r="A830" s="1">
        <v>46185</v>
      </c>
      <c r="B830" t="s">
        <v>20</v>
      </c>
      <c r="C830" t="s">
        <v>31</v>
      </c>
      <c r="D830">
        <v>1261.19</v>
      </c>
      <c r="E830">
        <v>1701.41</v>
      </c>
      <c r="F830">
        <v>-440.22</v>
      </c>
      <c r="G830" t="s">
        <v>22</v>
      </c>
      <c r="H830">
        <f t="shared" si="12"/>
        <v>24</v>
      </c>
    </row>
    <row r="831" spans="1:8">
      <c r="A831" s="1">
        <v>46024</v>
      </c>
      <c r="B831" t="s">
        <v>23</v>
      </c>
      <c r="C831" t="s">
        <v>29</v>
      </c>
      <c r="D831">
        <v>1067.92</v>
      </c>
      <c r="E831">
        <v>661.49</v>
      </c>
      <c r="F831">
        <v>406.43</v>
      </c>
      <c r="G831" t="s">
        <v>22</v>
      </c>
      <c r="H831">
        <f t="shared" si="12"/>
        <v>1</v>
      </c>
    </row>
    <row r="832" spans="1:8">
      <c r="A832" s="1">
        <v>46118</v>
      </c>
      <c r="B832" t="s">
        <v>23</v>
      </c>
      <c r="C832" t="s">
        <v>31</v>
      </c>
      <c r="D832">
        <v>904.26</v>
      </c>
      <c r="E832">
        <v>305.14</v>
      </c>
      <c r="F832">
        <v>599.12</v>
      </c>
      <c r="G832" t="s">
        <v>22</v>
      </c>
      <c r="H832">
        <f t="shared" si="12"/>
        <v>15</v>
      </c>
    </row>
    <row r="833" spans="1:8">
      <c r="A833" s="1">
        <v>46132</v>
      </c>
      <c r="B833" t="s">
        <v>20</v>
      </c>
      <c r="C833" t="s">
        <v>31</v>
      </c>
      <c r="D833">
        <v>804.6</v>
      </c>
      <c r="E833">
        <v>2175.4499999999998</v>
      </c>
      <c r="F833">
        <v>-1370.85</v>
      </c>
      <c r="G833" t="s">
        <v>22</v>
      </c>
      <c r="H833">
        <f t="shared" si="12"/>
        <v>17</v>
      </c>
    </row>
    <row r="834" spans="1:8">
      <c r="A834" s="1">
        <v>46078</v>
      </c>
      <c r="B834" t="s">
        <v>20</v>
      </c>
      <c r="C834" t="s">
        <v>28</v>
      </c>
      <c r="D834">
        <v>918.42</v>
      </c>
      <c r="E834">
        <v>448.42</v>
      </c>
      <c r="F834">
        <v>470</v>
      </c>
      <c r="G834" t="s">
        <v>22</v>
      </c>
      <c r="H834">
        <f t="shared" ref="H834:H879" si="13">WEEKNUM(A834,2)</f>
        <v>9</v>
      </c>
    </row>
    <row r="835" spans="1:8">
      <c r="A835" s="1">
        <v>46087</v>
      </c>
      <c r="B835" t="s">
        <v>23</v>
      </c>
      <c r="C835" t="s">
        <v>25</v>
      </c>
      <c r="D835">
        <v>2092.75</v>
      </c>
      <c r="E835">
        <v>1630.36</v>
      </c>
      <c r="F835">
        <v>462.39</v>
      </c>
      <c r="G835" t="s">
        <v>22</v>
      </c>
      <c r="H835">
        <f t="shared" si="13"/>
        <v>10</v>
      </c>
    </row>
    <row r="836" spans="1:8">
      <c r="A836" s="1">
        <v>46136</v>
      </c>
      <c r="B836" t="s">
        <v>23</v>
      </c>
      <c r="C836" t="s">
        <v>21</v>
      </c>
      <c r="D836">
        <v>1930.84</v>
      </c>
      <c r="E836">
        <v>2059.0500000000002</v>
      </c>
      <c r="F836">
        <v>-128.21</v>
      </c>
      <c r="G836" t="s">
        <v>22</v>
      </c>
      <c r="H836">
        <f t="shared" si="13"/>
        <v>17</v>
      </c>
    </row>
    <row r="837" spans="1:8">
      <c r="A837" s="1">
        <v>46104</v>
      </c>
      <c r="B837" t="s">
        <v>20</v>
      </c>
      <c r="C837" t="s">
        <v>30</v>
      </c>
      <c r="D837">
        <v>2153.61</v>
      </c>
      <c r="E837">
        <v>335.11</v>
      </c>
      <c r="F837">
        <v>1818.5</v>
      </c>
      <c r="G837" t="s">
        <v>22</v>
      </c>
      <c r="H837">
        <f t="shared" si="13"/>
        <v>13</v>
      </c>
    </row>
    <row r="838" spans="1:8">
      <c r="A838" s="1">
        <v>46139</v>
      </c>
      <c r="B838" t="s">
        <v>20</v>
      </c>
      <c r="C838" t="s">
        <v>25</v>
      </c>
      <c r="D838">
        <v>1565.53</v>
      </c>
      <c r="E838">
        <v>991.27</v>
      </c>
      <c r="F838">
        <v>574.26</v>
      </c>
      <c r="G838" t="s">
        <v>22</v>
      </c>
      <c r="H838">
        <f t="shared" si="13"/>
        <v>18</v>
      </c>
    </row>
    <row r="839" spans="1:8">
      <c r="A839" s="1">
        <v>46101</v>
      </c>
      <c r="B839" t="s">
        <v>20</v>
      </c>
      <c r="C839" t="s">
        <v>21</v>
      </c>
      <c r="D839">
        <v>674.73</v>
      </c>
      <c r="E839">
        <v>505.67</v>
      </c>
      <c r="F839">
        <v>169.06</v>
      </c>
      <c r="G839" t="s">
        <v>22</v>
      </c>
      <c r="H839">
        <f t="shared" si="13"/>
        <v>12</v>
      </c>
    </row>
    <row r="840" spans="1:8">
      <c r="A840" s="1">
        <v>46041</v>
      </c>
      <c r="B840" t="s">
        <v>20</v>
      </c>
      <c r="C840" t="s">
        <v>29</v>
      </c>
      <c r="D840">
        <v>581.79</v>
      </c>
      <c r="E840">
        <v>852.9</v>
      </c>
      <c r="F840">
        <v>-271.11</v>
      </c>
      <c r="G840" t="s">
        <v>22</v>
      </c>
      <c r="H840">
        <f t="shared" si="13"/>
        <v>4</v>
      </c>
    </row>
    <row r="841" spans="1:8">
      <c r="A841" s="1">
        <v>46036</v>
      </c>
      <c r="B841" t="s">
        <v>23</v>
      </c>
      <c r="C841" t="s">
        <v>28</v>
      </c>
      <c r="D841">
        <v>655.75</v>
      </c>
      <c r="E841">
        <v>722.48</v>
      </c>
      <c r="F841">
        <v>-66.73</v>
      </c>
      <c r="G841" t="s">
        <v>22</v>
      </c>
      <c r="H841">
        <f t="shared" si="13"/>
        <v>3</v>
      </c>
    </row>
    <row r="842" spans="1:8">
      <c r="A842" s="1">
        <v>46191</v>
      </c>
      <c r="B842" t="s">
        <v>20</v>
      </c>
      <c r="C842" t="s">
        <v>31</v>
      </c>
      <c r="D842">
        <v>2142.91</v>
      </c>
      <c r="E842">
        <v>1451.42</v>
      </c>
      <c r="F842">
        <v>691.49</v>
      </c>
      <c r="G842" t="s">
        <v>22</v>
      </c>
      <c r="H842">
        <f t="shared" si="13"/>
        <v>25</v>
      </c>
    </row>
    <row r="843" spans="1:8">
      <c r="A843" s="1">
        <v>46174</v>
      </c>
      <c r="B843" t="s">
        <v>23</v>
      </c>
      <c r="C843" t="s">
        <v>24</v>
      </c>
      <c r="D843">
        <v>682.04</v>
      </c>
      <c r="E843">
        <v>954.04</v>
      </c>
      <c r="F843">
        <v>-272</v>
      </c>
      <c r="G843" t="s">
        <v>22</v>
      </c>
      <c r="H843">
        <f t="shared" si="13"/>
        <v>23</v>
      </c>
    </row>
    <row r="844" spans="1:8">
      <c r="A844" s="1">
        <v>46087</v>
      </c>
      <c r="B844" t="s">
        <v>20</v>
      </c>
      <c r="C844" t="s">
        <v>24</v>
      </c>
      <c r="D844">
        <v>1839.59</v>
      </c>
      <c r="E844">
        <v>337.93</v>
      </c>
      <c r="F844">
        <v>1501.66</v>
      </c>
      <c r="G844" t="s">
        <v>22</v>
      </c>
      <c r="H844">
        <f t="shared" si="13"/>
        <v>10</v>
      </c>
    </row>
    <row r="845" spans="1:8">
      <c r="A845" s="1">
        <v>46073</v>
      </c>
      <c r="B845" t="s">
        <v>23</v>
      </c>
      <c r="C845" t="s">
        <v>28</v>
      </c>
      <c r="D845">
        <v>2553.86</v>
      </c>
      <c r="E845">
        <v>773.13</v>
      </c>
      <c r="F845">
        <v>1780.73</v>
      </c>
      <c r="G845" t="s">
        <v>22</v>
      </c>
      <c r="H845">
        <f t="shared" si="13"/>
        <v>8</v>
      </c>
    </row>
    <row r="846" spans="1:8">
      <c r="A846" s="1">
        <v>46147</v>
      </c>
      <c r="B846" t="s">
        <v>23</v>
      </c>
      <c r="C846" t="s">
        <v>31</v>
      </c>
      <c r="D846">
        <v>643.47</v>
      </c>
      <c r="E846">
        <v>537.47</v>
      </c>
      <c r="F846">
        <v>106</v>
      </c>
      <c r="G846" t="s">
        <v>22</v>
      </c>
      <c r="H846">
        <f t="shared" si="13"/>
        <v>19</v>
      </c>
    </row>
    <row r="847" spans="1:8">
      <c r="A847" s="1">
        <v>46197</v>
      </c>
      <c r="B847" t="s">
        <v>20</v>
      </c>
      <c r="C847" t="s">
        <v>32</v>
      </c>
      <c r="D847">
        <v>322.70999999999998</v>
      </c>
      <c r="E847">
        <v>1284.46</v>
      </c>
      <c r="F847">
        <v>-961.75</v>
      </c>
      <c r="G847" t="s">
        <v>22</v>
      </c>
      <c r="H847">
        <f t="shared" si="13"/>
        <v>26</v>
      </c>
    </row>
    <row r="848" spans="1:8">
      <c r="A848" s="1">
        <v>46052</v>
      </c>
      <c r="B848" t="s">
        <v>23</v>
      </c>
      <c r="C848" t="s">
        <v>26</v>
      </c>
      <c r="D848">
        <v>2470.5500000000002</v>
      </c>
      <c r="E848">
        <v>246.88</v>
      </c>
      <c r="F848">
        <v>2223.67</v>
      </c>
      <c r="G848" t="s">
        <v>22</v>
      </c>
      <c r="H848">
        <f t="shared" si="13"/>
        <v>5</v>
      </c>
    </row>
    <row r="849" spans="1:8">
      <c r="A849" s="1">
        <v>46154</v>
      </c>
      <c r="B849" t="s">
        <v>23</v>
      </c>
      <c r="C849" t="s">
        <v>26</v>
      </c>
      <c r="D849">
        <v>1110.26</v>
      </c>
      <c r="E849">
        <v>751.19</v>
      </c>
      <c r="F849">
        <v>359.07</v>
      </c>
      <c r="G849" t="s">
        <v>22</v>
      </c>
      <c r="H849">
        <f t="shared" si="13"/>
        <v>20</v>
      </c>
    </row>
    <row r="850" spans="1:8">
      <c r="A850" s="1">
        <v>46195</v>
      </c>
      <c r="B850" t="s">
        <v>20</v>
      </c>
      <c r="C850" t="s">
        <v>25</v>
      </c>
      <c r="D850">
        <v>309.77</v>
      </c>
      <c r="E850">
        <v>1367.04</v>
      </c>
      <c r="F850">
        <v>-1057.27</v>
      </c>
      <c r="G850" t="s">
        <v>22</v>
      </c>
      <c r="H850">
        <f t="shared" si="13"/>
        <v>26</v>
      </c>
    </row>
    <row r="851" spans="1:8">
      <c r="A851" s="1">
        <v>46063</v>
      </c>
      <c r="B851" t="s">
        <v>23</v>
      </c>
      <c r="C851" t="s">
        <v>24</v>
      </c>
      <c r="D851">
        <v>2538.31</v>
      </c>
      <c r="E851">
        <v>1528.06</v>
      </c>
      <c r="F851">
        <v>1010.25</v>
      </c>
      <c r="G851" t="s">
        <v>22</v>
      </c>
      <c r="H851">
        <f t="shared" si="13"/>
        <v>7</v>
      </c>
    </row>
    <row r="852" spans="1:8">
      <c r="A852" s="1">
        <v>46112</v>
      </c>
      <c r="B852" t="s">
        <v>20</v>
      </c>
      <c r="C852" t="s">
        <v>29</v>
      </c>
      <c r="D852">
        <v>962.73</v>
      </c>
      <c r="E852">
        <v>916.62</v>
      </c>
      <c r="F852">
        <v>46.11</v>
      </c>
      <c r="G852" t="s">
        <v>22</v>
      </c>
      <c r="H852">
        <f t="shared" si="13"/>
        <v>14</v>
      </c>
    </row>
    <row r="853" spans="1:8">
      <c r="A853" s="1">
        <v>46164</v>
      </c>
      <c r="B853" t="s">
        <v>20</v>
      </c>
      <c r="C853" t="s">
        <v>30</v>
      </c>
      <c r="D853">
        <v>698.02</v>
      </c>
      <c r="E853">
        <v>963.64</v>
      </c>
      <c r="F853">
        <v>-265.62</v>
      </c>
      <c r="G853" t="s">
        <v>22</v>
      </c>
      <c r="H853">
        <f t="shared" si="13"/>
        <v>21</v>
      </c>
    </row>
    <row r="854" spans="1:8">
      <c r="A854" s="1">
        <v>46108</v>
      </c>
      <c r="B854" t="s">
        <v>23</v>
      </c>
      <c r="C854" t="s">
        <v>24</v>
      </c>
      <c r="D854">
        <v>2527.0100000000002</v>
      </c>
      <c r="E854">
        <v>1665.43</v>
      </c>
      <c r="F854">
        <v>861.58</v>
      </c>
      <c r="G854" t="s">
        <v>22</v>
      </c>
      <c r="H854">
        <f t="shared" si="13"/>
        <v>13</v>
      </c>
    </row>
    <row r="855" spans="1:8">
      <c r="A855" s="1">
        <v>46031</v>
      </c>
      <c r="B855" t="s">
        <v>20</v>
      </c>
      <c r="C855" t="s">
        <v>29</v>
      </c>
      <c r="D855">
        <v>291.89</v>
      </c>
      <c r="E855">
        <v>1709.23</v>
      </c>
      <c r="F855">
        <v>-1417.34</v>
      </c>
      <c r="G855" t="s">
        <v>22</v>
      </c>
      <c r="H855">
        <f t="shared" si="13"/>
        <v>2</v>
      </c>
    </row>
    <row r="856" spans="1:8">
      <c r="A856" s="1">
        <v>46049</v>
      </c>
      <c r="B856" t="s">
        <v>23</v>
      </c>
      <c r="C856" t="s">
        <v>32</v>
      </c>
      <c r="D856">
        <v>424.13</v>
      </c>
      <c r="E856">
        <v>2484.8000000000002</v>
      </c>
      <c r="F856">
        <v>-2060.67</v>
      </c>
      <c r="G856" t="s">
        <v>22</v>
      </c>
      <c r="H856">
        <f t="shared" si="13"/>
        <v>5</v>
      </c>
    </row>
    <row r="857" spans="1:8">
      <c r="A857" s="1">
        <v>46062</v>
      </c>
      <c r="B857" t="s">
        <v>23</v>
      </c>
      <c r="C857" t="s">
        <v>31</v>
      </c>
      <c r="D857">
        <v>2591.92</v>
      </c>
      <c r="E857">
        <v>1520.93</v>
      </c>
      <c r="F857">
        <v>1070.99</v>
      </c>
      <c r="G857" t="s">
        <v>22</v>
      </c>
      <c r="H857">
        <f t="shared" si="13"/>
        <v>7</v>
      </c>
    </row>
    <row r="858" spans="1:8">
      <c r="A858" s="1">
        <v>46191</v>
      </c>
      <c r="B858" t="s">
        <v>20</v>
      </c>
      <c r="C858" t="s">
        <v>25</v>
      </c>
      <c r="D858">
        <v>1579.44</v>
      </c>
      <c r="E858">
        <v>1892.72</v>
      </c>
      <c r="F858">
        <v>-313.27999999999997</v>
      </c>
      <c r="G858" t="s">
        <v>22</v>
      </c>
      <c r="H858">
        <f t="shared" si="13"/>
        <v>25</v>
      </c>
    </row>
    <row r="859" spans="1:8">
      <c r="A859" s="1">
        <v>46065</v>
      </c>
      <c r="B859" t="s">
        <v>20</v>
      </c>
      <c r="C859" t="s">
        <v>24</v>
      </c>
      <c r="D859">
        <v>1315.69</v>
      </c>
      <c r="E859">
        <v>273.47000000000003</v>
      </c>
      <c r="F859">
        <v>1042.22</v>
      </c>
      <c r="G859" t="s">
        <v>22</v>
      </c>
      <c r="H859">
        <f t="shared" si="13"/>
        <v>7</v>
      </c>
    </row>
    <row r="860" spans="1:8">
      <c r="A860" s="1">
        <v>46057</v>
      </c>
      <c r="B860" t="s">
        <v>20</v>
      </c>
      <c r="C860" t="s">
        <v>32</v>
      </c>
      <c r="D860">
        <v>1103.32</v>
      </c>
      <c r="E860">
        <v>675.3</v>
      </c>
      <c r="F860">
        <v>428.02</v>
      </c>
      <c r="G860" t="s">
        <v>22</v>
      </c>
      <c r="H860">
        <f t="shared" si="13"/>
        <v>6</v>
      </c>
    </row>
    <row r="861" spans="1:8">
      <c r="A861" s="1">
        <v>46058</v>
      </c>
      <c r="B861" t="s">
        <v>20</v>
      </c>
      <c r="C861" t="s">
        <v>28</v>
      </c>
      <c r="D861">
        <v>234.19</v>
      </c>
      <c r="E861">
        <v>1242.1300000000001</v>
      </c>
      <c r="F861">
        <v>-1007.94</v>
      </c>
      <c r="G861" t="s">
        <v>22</v>
      </c>
      <c r="H861">
        <f t="shared" si="13"/>
        <v>6</v>
      </c>
    </row>
    <row r="862" spans="1:8">
      <c r="A862" s="1">
        <v>46114</v>
      </c>
      <c r="B862" t="s">
        <v>20</v>
      </c>
      <c r="C862" t="s">
        <v>32</v>
      </c>
      <c r="D862">
        <v>1511.96</v>
      </c>
      <c r="E862">
        <v>325.51</v>
      </c>
      <c r="F862">
        <v>1186.45</v>
      </c>
      <c r="G862" t="s">
        <v>22</v>
      </c>
      <c r="H862">
        <f t="shared" si="13"/>
        <v>14</v>
      </c>
    </row>
    <row r="863" spans="1:8">
      <c r="A863" s="1">
        <v>46178</v>
      </c>
      <c r="B863" t="s">
        <v>23</v>
      </c>
      <c r="C863" t="s">
        <v>25</v>
      </c>
      <c r="D863">
        <v>2561.36</v>
      </c>
      <c r="E863">
        <v>785.39</v>
      </c>
      <c r="F863">
        <v>1775.97</v>
      </c>
      <c r="G863" t="s">
        <v>22</v>
      </c>
      <c r="H863">
        <f t="shared" si="13"/>
        <v>23</v>
      </c>
    </row>
    <row r="864" spans="1:8">
      <c r="A864" s="1">
        <v>46049</v>
      </c>
      <c r="B864" t="s">
        <v>20</v>
      </c>
      <c r="C864" t="s">
        <v>24</v>
      </c>
      <c r="D864">
        <v>1273.27</v>
      </c>
      <c r="E864">
        <v>150.83000000000001</v>
      </c>
      <c r="F864">
        <v>1122.44</v>
      </c>
      <c r="G864" t="s">
        <v>22</v>
      </c>
      <c r="H864">
        <f t="shared" si="13"/>
        <v>5</v>
      </c>
    </row>
    <row r="865" spans="1:8">
      <c r="A865" s="1">
        <v>46052</v>
      </c>
      <c r="B865" t="s">
        <v>23</v>
      </c>
      <c r="C865" t="s">
        <v>30</v>
      </c>
      <c r="D865">
        <v>1134.74</v>
      </c>
      <c r="E865">
        <v>2047.51</v>
      </c>
      <c r="F865">
        <v>-912.77</v>
      </c>
      <c r="G865" t="s">
        <v>22</v>
      </c>
      <c r="H865">
        <f t="shared" si="13"/>
        <v>5</v>
      </c>
    </row>
    <row r="866" spans="1:8">
      <c r="A866" s="1">
        <v>46153</v>
      </c>
      <c r="B866" t="s">
        <v>23</v>
      </c>
      <c r="C866" t="s">
        <v>28</v>
      </c>
      <c r="D866">
        <v>2548</v>
      </c>
      <c r="E866">
        <v>1750.11</v>
      </c>
      <c r="F866">
        <v>797.89</v>
      </c>
      <c r="G866" t="s">
        <v>22</v>
      </c>
      <c r="H866">
        <f t="shared" si="13"/>
        <v>20</v>
      </c>
    </row>
    <row r="867" spans="1:8">
      <c r="A867" s="1">
        <v>46163</v>
      </c>
      <c r="B867" t="s">
        <v>23</v>
      </c>
      <c r="C867" t="s">
        <v>26</v>
      </c>
      <c r="D867">
        <v>1477.31</v>
      </c>
      <c r="E867">
        <v>1187.21</v>
      </c>
      <c r="F867">
        <v>290.10000000000002</v>
      </c>
      <c r="G867" t="s">
        <v>22</v>
      </c>
      <c r="H867">
        <f t="shared" si="13"/>
        <v>21</v>
      </c>
    </row>
    <row r="868" spans="1:8">
      <c r="A868" s="1">
        <v>46141</v>
      </c>
      <c r="B868" t="s">
        <v>23</v>
      </c>
      <c r="C868" t="s">
        <v>26</v>
      </c>
      <c r="D868">
        <v>1492.59</v>
      </c>
      <c r="E868">
        <v>2439.2600000000002</v>
      </c>
      <c r="F868">
        <v>-946.67</v>
      </c>
      <c r="G868" t="s">
        <v>22</v>
      </c>
      <c r="H868">
        <f t="shared" si="13"/>
        <v>18</v>
      </c>
    </row>
    <row r="869" spans="1:8">
      <c r="A869" s="1">
        <v>46189</v>
      </c>
      <c r="B869" t="s">
        <v>20</v>
      </c>
      <c r="C869" t="s">
        <v>28</v>
      </c>
      <c r="D869">
        <v>1608.36</v>
      </c>
      <c r="E869">
        <v>1848.39</v>
      </c>
      <c r="F869">
        <v>-240.03</v>
      </c>
      <c r="G869" t="s">
        <v>22</v>
      </c>
      <c r="H869">
        <f t="shared" si="13"/>
        <v>25</v>
      </c>
    </row>
    <row r="870" spans="1:8">
      <c r="A870" s="1">
        <v>46129</v>
      </c>
      <c r="B870" t="s">
        <v>23</v>
      </c>
      <c r="C870" t="s">
        <v>27</v>
      </c>
      <c r="D870">
        <v>1288.51</v>
      </c>
      <c r="E870">
        <v>1852.67</v>
      </c>
      <c r="F870">
        <v>-564.16</v>
      </c>
      <c r="G870" t="s">
        <v>22</v>
      </c>
      <c r="H870">
        <f t="shared" si="13"/>
        <v>16</v>
      </c>
    </row>
    <row r="871" spans="1:8">
      <c r="A871" s="1">
        <v>46141</v>
      </c>
      <c r="B871" t="s">
        <v>20</v>
      </c>
      <c r="C871" t="s">
        <v>21</v>
      </c>
      <c r="D871">
        <v>860.05</v>
      </c>
      <c r="E871">
        <v>1056.8699999999999</v>
      </c>
      <c r="F871">
        <v>-196.82</v>
      </c>
      <c r="G871" t="s">
        <v>22</v>
      </c>
      <c r="H871">
        <f t="shared" si="13"/>
        <v>18</v>
      </c>
    </row>
    <row r="872" spans="1:8">
      <c r="A872" s="1">
        <v>46127</v>
      </c>
      <c r="B872" t="s">
        <v>23</v>
      </c>
      <c r="C872" t="s">
        <v>30</v>
      </c>
      <c r="D872">
        <v>1610.69</v>
      </c>
      <c r="E872">
        <v>2042.68</v>
      </c>
      <c r="F872">
        <v>-431.99</v>
      </c>
      <c r="G872" t="s">
        <v>22</v>
      </c>
      <c r="H872">
        <f t="shared" si="13"/>
        <v>16</v>
      </c>
    </row>
    <row r="873" spans="1:8">
      <c r="A873" s="1">
        <v>46029</v>
      </c>
      <c r="B873" t="s">
        <v>23</v>
      </c>
      <c r="C873" t="s">
        <v>28</v>
      </c>
      <c r="D873">
        <v>207.79</v>
      </c>
      <c r="E873">
        <v>1933.02</v>
      </c>
      <c r="F873">
        <v>-1725.23</v>
      </c>
      <c r="G873" t="s">
        <v>22</v>
      </c>
      <c r="H873">
        <f t="shared" si="13"/>
        <v>2</v>
      </c>
    </row>
    <row r="874" spans="1:8">
      <c r="A874" s="1">
        <v>46170</v>
      </c>
      <c r="B874" t="s">
        <v>23</v>
      </c>
      <c r="C874" t="s">
        <v>25</v>
      </c>
      <c r="D874">
        <v>1049.3900000000001</v>
      </c>
      <c r="E874">
        <v>423.35</v>
      </c>
      <c r="F874">
        <v>626.04</v>
      </c>
      <c r="G874" t="s">
        <v>22</v>
      </c>
      <c r="H874">
        <f t="shared" si="13"/>
        <v>22</v>
      </c>
    </row>
    <row r="875" spans="1:8">
      <c r="A875" s="1">
        <v>46199</v>
      </c>
      <c r="B875" t="s">
        <v>23</v>
      </c>
      <c r="C875" t="s">
        <v>24</v>
      </c>
      <c r="D875">
        <v>1242.76</v>
      </c>
      <c r="E875">
        <v>1288.0899999999999</v>
      </c>
      <c r="F875">
        <v>-45.33</v>
      </c>
      <c r="G875" t="s">
        <v>22</v>
      </c>
      <c r="H875">
        <f t="shared" si="13"/>
        <v>26</v>
      </c>
    </row>
    <row r="876" spans="1:8">
      <c r="A876" s="1">
        <v>46104</v>
      </c>
      <c r="B876" t="s">
        <v>20</v>
      </c>
      <c r="C876" t="s">
        <v>28</v>
      </c>
      <c r="D876">
        <v>227.09</v>
      </c>
      <c r="E876">
        <v>905.91</v>
      </c>
      <c r="F876">
        <v>-678.82</v>
      </c>
      <c r="G876" t="s">
        <v>22</v>
      </c>
      <c r="H876">
        <f t="shared" si="13"/>
        <v>13</v>
      </c>
    </row>
    <row r="877" spans="1:8">
      <c r="A877" s="1">
        <v>46038</v>
      </c>
      <c r="B877" t="s">
        <v>20</v>
      </c>
      <c r="C877" t="s">
        <v>25</v>
      </c>
      <c r="D877">
        <v>300.18</v>
      </c>
      <c r="E877">
        <v>586.97</v>
      </c>
      <c r="F877">
        <v>-286.79000000000002</v>
      </c>
      <c r="G877" t="s">
        <v>22</v>
      </c>
      <c r="H877">
        <f t="shared" si="13"/>
        <v>3</v>
      </c>
    </row>
    <row r="878" spans="1:8">
      <c r="A878" s="1">
        <v>46083</v>
      </c>
      <c r="B878" t="s">
        <v>23</v>
      </c>
      <c r="C878" t="s">
        <v>27</v>
      </c>
      <c r="D878">
        <v>537.82000000000005</v>
      </c>
      <c r="E878">
        <v>2519.6</v>
      </c>
      <c r="F878">
        <v>-1981.78</v>
      </c>
      <c r="G878" t="s">
        <v>22</v>
      </c>
      <c r="H878">
        <f t="shared" si="13"/>
        <v>10</v>
      </c>
    </row>
    <row r="879" spans="1:8">
      <c r="A879" s="1">
        <v>46121</v>
      </c>
      <c r="B879" t="s">
        <v>20</v>
      </c>
      <c r="C879" t="s">
        <v>30</v>
      </c>
      <c r="D879">
        <v>1889.77</v>
      </c>
      <c r="E879">
        <v>1540.08</v>
      </c>
      <c r="F879">
        <v>349.69</v>
      </c>
      <c r="G879" t="s">
        <v>22</v>
      </c>
      <c r="H879">
        <f t="shared" si="13"/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089E-454A-42D3-B14F-A1B9D4A92DC6}">
  <sheetPr>
    <tabColor theme="4" tint="0.59999389629810485"/>
  </sheetPr>
  <dimension ref="A1:AJ154"/>
  <sheetViews>
    <sheetView showGridLines="0" showRowColHeaders="0" zoomScale="81" zoomScaleNormal="81" workbookViewId="0">
      <selection activeCell="AB8" sqref="AB8"/>
    </sheetView>
  </sheetViews>
  <sheetFormatPr defaultRowHeight="14.45"/>
  <cols>
    <col min="1" max="1" width="12.7109375" bestFit="1" customWidth="1"/>
    <col min="2" max="2" width="14.42578125" bestFit="1" customWidth="1"/>
    <col min="3" max="3" width="15.42578125" bestFit="1" customWidth="1"/>
    <col min="4" max="4" width="18.5703125" bestFit="1" customWidth="1"/>
    <col min="5" max="5" width="18.7109375" bestFit="1" customWidth="1"/>
    <col min="6" max="6" width="23.85546875" bestFit="1" customWidth="1"/>
    <col min="7" max="7" width="17.140625" bestFit="1" customWidth="1"/>
    <col min="8" max="8" width="10.7109375" bestFit="1" customWidth="1"/>
    <col min="9" max="9" width="18.140625" customWidth="1"/>
    <col min="10" max="14" width="10.7109375" bestFit="1" customWidth="1"/>
    <col min="15" max="15" width="17.7109375" customWidth="1"/>
    <col min="16" max="16" width="14.85546875" customWidth="1"/>
    <col min="17" max="17" width="17" bestFit="1" customWidth="1"/>
    <col min="18" max="18" width="19.140625" bestFit="1" customWidth="1"/>
    <col min="19" max="19" width="34" bestFit="1" customWidth="1"/>
    <col min="20" max="20" width="18.28515625" bestFit="1" customWidth="1"/>
    <col min="22" max="22" width="19.7109375" bestFit="1" customWidth="1"/>
    <col min="23" max="23" width="16.7109375" bestFit="1" customWidth="1"/>
    <col min="24" max="24" width="14.42578125" bestFit="1" customWidth="1"/>
    <col min="25" max="25" width="11.7109375" bestFit="1" customWidth="1"/>
    <col min="26" max="26" width="9.7109375" bestFit="1" customWidth="1"/>
    <col min="27" max="27" width="12.42578125" bestFit="1" customWidth="1"/>
    <col min="28" max="28" width="12.7109375" bestFit="1" customWidth="1"/>
    <col min="30" max="30" width="19.28515625" bestFit="1" customWidth="1"/>
    <col min="31" max="31" width="15.28515625" bestFit="1" customWidth="1"/>
    <col min="32" max="32" width="15.42578125" bestFit="1" customWidth="1"/>
    <col min="34" max="34" width="15" bestFit="1" customWidth="1"/>
    <col min="35" max="35" width="12.7109375" bestFit="1" customWidth="1"/>
    <col min="36" max="36" width="12.7109375" customWidth="1"/>
  </cols>
  <sheetData>
    <row r="1" spans="1:36" s="9" customFormat="1" ht="27.6">
      <c r="A1" s="20" t="s">
        <v>5</v>
      </c>
      <c r="B1" s="20" t="s">
        <v>34</v>
      </c>
      <c r="C1" s="20" t="s">
        <v>35</v>
      </c>
      <c r="D1" s="20" t="s">
        <v>36</v>
      </c>
      <c r="E1" s="20" t="s">
        <v>37</v>
      </c>
      <c r="F1" s="20" t="s">
        <v>38</v>
      </c>
      <c r="G1" s="21" t="s">
        <v>21</v>
      </c>
      <c r="H1" s="21" t="s">
        <v>24</v>
      </c>
      <c r="I1" s="21" t="s">
        <v>25</v>
      </c>
      <c r="J1" s="21" t="s">
        <v>26</v>
      </c>
      <c r="K1" s="21" t="s">
        <v>27</v>
      </c>
      <c r="L1" s="21" t="s">
        <v>28</v>
      </c>
      <c r="M1" s="21" t="s">
        <v>29</v>
      </c>
      <c r="N1" s="21" t="s">
        <v>30</v>
      </c>
      <c r="O1" s="21" t="s">
        <v>31</v>
      </c>
      <c r="P1" s="21" t="s">
        <v>32</v>
      </c>
      <c r="Q1" s="22" t="s">
        <v>39</v>
      </c>
      <c r="R1" s="22" t="s">
        <v>40</v>
      </c>
      <c r="S1" s="22" t="s">
        <v>41</v>
      </c>
      <c r="T1" s="26" t="s">
        <v>42</v>
      </c>
      <c r="V1" s="2" t="s">
        <v>43</v>
      </c>
      <c r="W1" s="27" t="s">
        <v>44</v>
      </c>
      <c r="X1" s="2" t="s">
        <v>45</v>
      </c>
      <c r="Y1" s="2" t="s">
        <v>19</v>
      </c>
      <c r="Z1" s="2" t="s">
        <v>46</v>
      </c>
      <c r="AA1" s="2" t="s">
        <v>47</v>
      </c>
      <c r="AB1" s="2" t="s">
        <v>48</v>
      </c>
      <c r="AD1" s="2" t="s">
        <v>49</v>
      </c>
      <c r="AE1" s="2" t="s">
        <v>50</v>
      </c>
      <c r="AF1" s="2" t="s">
        <v>51</v>
      </c>
      <c r="AH1" s="2" t="s">
        <v>52</v>
      </c>
      <c r="AI1" s="2" t="s">
        <v>53</v>
      </c>
      <c r="AJ1" s="2" t="s">
        <v>54</v>
      </c>
    </row>
    <row r="2" spans="1:36">
      <c r="A2" s="24" cm="1">
        <f t="array" ref="A2:A129">_xlfn._xlws.SORT(_xlfn.UNIQUE(FII_DII_raw_synthetic_Jan_Jun2026[Date]))</f>
        <v>46023</v>
      </c>
      <c r="B2" s="23">
        <f>SUMIFS(FII_DII_raw_synthetic_Jan_Jun2026[Net_Flow_Cr], FII_DII_raw_synthetic_Jan_Jun2026[Date], A2, FII_DII_raw_synthetic_Jan_Jun2026[Entity_Type], "FII")</f>
        <v>-2180.65</v>
      </c>
      <c r="C2" s="23">
        <f>SUMIFS(FII_DII_raw_synthetic_Jan_Jun2026[Net_Flow_Cr], FII_DII_raw_synthetic_Jan_Jun2026[Date], A2, FII_DII_raw_synthetic_Jan_Jun2026[Entity_Type], "DII")</f>
        <v>845.45</v>
      </c>
      <c r="D2" s="23"/>
      <c r="E2" s="23"/>
      <c r="F2" s="23">
        <f>ABS(B2)-ABS(C2)</f>
        <v>1335.2</v>
      </c>
      <c r="G2" s="23">
        <f>SUMIFS(FII_DII_raw_synthetic_Jan_Jun2026[Net_Flow_Cr], FII_DII_raw_synthetic_Jan_Jun2026[Date], $A2, FII_DII_raw_synthetic_Jan_Jun2026[Entity_Type], "FII", FII_DII_raw_synthetic_Jan_Jun2026[Sector], G$1)</f>
        <v>-686.72</v>
      </c>
      <c r="H2" s="23">
        <f>SUMIFS(FII_DII_raw_synthetic_Jan_Jun2026[Net_Flow_Cr], FII_DII_raw_synthetic_Jan_Jun2026[Date], $A2, FII_DII_raw_synthetic_Jan_Jun2026[Entity_Type], "FII", FII_DII_raw_synthetic_Jan_Jun2026[Sector], H$1)</f>
        <v>0</v>
      </c>
      <c r="I2" s="23">
        <f>SUMIFS(FII_DII_raw_synthetic_Jan_Jun2026[Net_Flow_Cr], FII_DII_raw_synthetic_Jan_Jun2026[Date], $A2, FII_DII_raw_synthetic_Jan_Jun2026[Entity_Type], "FII", FII_DII_raw_synthetic_Jan_Jun2026[Sector], I$1)</f>
        <v>-1052.19</v>
      </c>
      <c r="J2" s="23">
        <f>SUMIFS(FII_DII_raw_synthetic_Jan_Jun2026[Net_Flow_Cr], FII_DII_raw_synthetic_Jan_Jun2026[Date], $A2, FII_DII_raw_synthetic_Jan_Jun2026[Entity_Type], "FII", FII_DII_raw_synthetic_Jan_Jun2026[Sector], J$1)</f>
        <v>0</v>
      </c>
      <c r="K2" s="23">
        <f>SUMIFS(FII_DII_raw_synthetic_Jan_Jun2026[Net_Flow_Cr], FII_DII_raw_synthetic_Jan_Jun2026[Date], $A2, FII_DII_raw_synthetic_Jan_Jun2026[Entity_Type], "FII", FII_DII_raw_synthetic_Jan_Jun2026[Sector], K$1)</f>
        <v>0</v>
      </c>
      <c r="L2" s="23">
        <f>SUMIFS(FII_DII_raw_synthetic_Jan_Jun2026[Net_Flow_Cr], FII_DII_raw_synthetic_Jan_Jun2026[Date], $A2, FII_DII_raw_synthetic_Jan_Jun2026[Entity_Type], "FII", FII_DII_raw_synthetic_Jan_Jun2026[Sector], L$1)</f>
        <v>-441.74</v>
      </c>
      <c r="M2" s="23">
        <f>SUMIFS(FII_DII_raw_synthetic_Jan_Jun2026[Net_Flow_Cr], FII_DII_raw_synthetic_Jan_Jun2026[Date], $A2, FII_DII_raw_synthetic_Jan_Jun2026[Entity_Type], "FII", FII_DII_raw_synthetic_Jan_Jun2026[Sector], M$1)</f>
        <v>0</v>
      </c>
      <c r="N2" s="23">
        <f>SUMIFS(FII_DII_raw_synthetic_Jan_Jun2026[Net_Flow_Cr], FII_DII_raw_synthetic_Jan_Jun2026[Date], $A2, FII_DII_raw_synthetic_Jan_Jun2026[Entity_Type], "FII", FII_DII_raw_synthetic_Jan_Jun2026[Sector], N$1)</f>
        <v>0</v>
      </c>
      <c r="O2" s="23">
        <f>SUMIFS(FII_DII_raw_synthetic_Jan_Jun2026[Net_Flow_Cr], FII_DII_raw_synthetic_Jan_Jun2026[Date], $A2, FII_DII_raw_synthetic_Jan_Jun2026[Entity_Type], "FII", FII_DII_raw_synthetic_Jan_Jun2026[Sector], O$1)</f>
        <v>0</v>
      </c>
      <c r="P2" s="23">
        <f>SUMIFS(FII_DII_raw_synthetic_Jan_Jun2026[Net_Flow_Cr], FII_DII_raw_synthetic_Jan_Jun2026[Date], $A2, FII_DII_raw_synthetic_Jan_Jun2026[Entity_Type], "FII", FII_DII_raw_synthetic_Jan_Jun2026[Sector], P$1)</f>
        <v>0</v>
      </c>
      <c r="Q2" s="23" cm="1">
        <f t="array" ref="Q2">SUMPRODUCT(ABS(G2:P2))</f>
        <v>2180.65</v>
      </c>
      <c r="R2" s="23" cm="1">
        <f t="array" ref="R2">LARGE(ABS(G2:P2),1)+LARGE(ABS(G2:P2),2)</f>
        <v>1738.91</v>
      </c>
      <c r="S2" s="25">
        <f>IFERROR(R2/Q2,0)</f>
        <v>0.79742737257239815</v>
      </c>
      <c r="T2" s="23">
        <f>IFERROR(_xlfn.XLOOKUP(A2, 'Nifty 50 Historical Data'!A:A, 'Nifty 50 Historical Data'!G:G), "")</f>
        <v>0.06</v>
      </c>
      <c r="V2">
        <f>CORREL(B2:B129, T2:T129)</f>
        <v>-1.7208541351339871E-2</v>
      </c>
      <c r="W2" t="str">
        <f>IF(B2&lt;=-$X$2,"Strong FII Selling",IF(B2&gt;=$X$2,"Strong FII Buying",IF(OR(B2=0,C2=0),"Neutral",IF(SIGN(B2)&lt;&gt;SIGN(C2),"Divergent Flow","Aligned Flow"))))</f>
        <v>Strong FII Selling</v>
      </c>
      <c r="X2" cm="1">
        <f t="array" ref="X2">AVERAGE(ABS(B2:B129))*1.5</f>
        <v>1928.5651171874983</v>
      </c>
      <c r="Y2">
        <f>WEEKNUM(A2,2)</f>
        <v>1</v>
      </c>
      <c r="Z2" t="s">
        <v>55</v>
      </c>
      <c r="AA2">
        <v>1.5</v>
      </c>
      <c r="AB2">
        <v>1.2</v>
      </c>
      <c r="AD2" t="s">
        <v>56</v>
      </c>
      <c r="AE2">
        <f>_xlfn.XLOOKUP(AD2,Z2:Z4,AA2:AA4)</f>
        <v>1</v>
      </c>
      <c r="AF2">
        <f>_xlfn.XLOOKUP(AD2,Z2:Z4,AB2:AB4)</f>
        <v>1</v>
      </c>
      <c r="AH2" s="1">
        <f>MAX(A2:A129)+1</f>
        <v>46204</v>
      </c>
      <c r="AI2">
        <f>$D$129*$AE$2</f>
        <v>804.82</v>
      </c>
      <c r="AJ2">
        <f>$E$129*$AF$2</f>
        <v>-396.66399999999987</v>
      </c>
    </row>
    <row r="3" spans="1:36">
      <c r="A3" s="24">
        <v>46024</v>
      </c>
      <c r="B3" s="23">
        <f>SUMIFS(FII_DII_raw_synthetic_Jan_Jun2026[Net_Flow_Cr], FII_DII_raw_synthetic_Jan_Jun2026[Date], A3, FII_DII_raw_synthetic_Jan_Jun2026[Entity_Type], "FII")</f>
        <v>-1365.57</v>
      </c>
      <c r="C3" s="23">
        <f>SUMIFS(FII_DII_raw_synthetic_Jan_Jun2026[Net_Flow_Cr], FII_DII_raw_synthetic_Jan_Jun2026[Date], A3, FII_DII_raw_synthetic_Jan_Jun2026[Entity_Type], "DII")</f>
        <v>-108.07999999999998</v>
      </c>
      <c r="D3" s="23"/>
      <c r="E3" s="23"/>
      <c r="F3" s="23">
        <f t="shared" ref="F3:F66" si="0">ABS(B3)-ABS(C3)</f>
        <v>1257.49</v>
      </c>
      <c r="G3" s="23">
        <f>SUMIFS(FII_DII_raw_synthetic_Jan_Jun2026[Net_Flow_Cr], FII_DII_raw_synthetic_Jan_Jun2026[Date], $A3, FII_DII_raw_synthetic_Jan_Jun2026[Entity_Type], "FII", FII_DII_raw_synthetic_Jan_Jun2026[Sector], G$1)</f>
        <v>0</v>
      </c>
      <c r="H3" s="23">
        <f>SUMIFS(FII_DII_raw_synthetic_Jan_Jun2026[Net_Flow_Cr], FII_DII_raw_synthetic_Jan_Jun2026[Date], $A3, FII_DII_raw_synthetic_Jan_Jun2026[Entity_Type], "FII", FII_DII_raw_synthetic_Jan_Jun2026[Sector], H$1)</f>
        <v>0</v>
      </c>
      <c r="I3" s="23">
        <f>SUMIFS(FII_DII_raw_synthetic_Jan_Jun2026[Net_Flow_Cr], FII_DII_raw_synthetic_Jan_Jun2026[Date], $A3, FII_DII_raw_synthetic_Jan_Jun2026[Entity_Type], "FII", FII_DII_raw_synthetic_Jan_Jun2026[Sector], I$1)</f>
        <v>-1123.77</v>
      </c>
      <c r="J3" s="23">
        <f>SUMIFS(FII_DII_raw_synthetic_Jan_Jun2026[Net_Flow_Cr], FII_DII_raw_synthetic_Jan_Jun2026[Date], $A3, FII_DII_raw_synthetic_Jan_Jun2026[Entity_Type], "FII", FII_DII_raw_synthetic_Jan_Jun2026[Sector], J$1)</f>
        <v>0</v>
      </c>
      <c r="K3" s="23">
        <f>SUMIFS(FII_DII_raw_synthetic_Jan_Jun2026[Net_Flow_Cr], FII_DII_raw_synthetic_Jan_Jun2026[Date], $A3, FII_DII_raw_synthetic_Jan_Jun2026[Entity_Type], "FII", FII_DII_raw_synthetic_Jan_Jun2026[Sector], K$1)</f>
        <v>30.8</v>
      </c>
      <c r="L3" s="23">
        <f>SUMIFS(FII_DII_raw_synthetic_Jan_Jun2026[Net_Flow_Cr], FII_DII_raw_synthetic_Jan_Jun2026[Date], $A3, FII_DII_raw_synthetic_Jan_Jun2026[Entity_Type], "FII", FII_DII_raw_synthetic_Jan_Jun2026[Sector], L$1)</f>
        <v>296.72000000000003</v>
      </c>
      <c r="M3" s="23">
        <f>SUMIFS(FII_DII_raw_synthetic_Jan_Jun2026[Net_Flow_Cr], FII_DII_raw_synthetic_Jan_Jun2026[Date], $A3, FII_DII_raw_synthetic_Jan_Jun2026[Entity_Type], "FII", FII_DII_raw_synthetic_Jan_Jun2026[Sector], M$1)</f>
        <v>0</v>
      </c>
      <c r="N3" s="23">
        <f>SUMIFS(FII_DII_raw_synthetic_Jan_Jun2026[Net_Flow_Cr], FII_DII_raw_synthetic_Jan_Jun2026[Date], $A3, FII_DII_raw_synthetic_Jan_Jun2026[Entity_Type], "FII", FII_DII_raw_synthetic_Jan_Jun2026[Sector], N$1)</f>
        <v>0</v>
      </c>
      <c r="O3" s="23">
        <f>SUMIFS(FII_DII_raw_synthetic_Jan_Jun2026[Net_Flow_Cr], FII_DII_raw_synthetic_Jan_Jun2026[Date], $A3, FII_DII_raw_synthetic_Jan_Jun2026[Entity_Type], "FII", FII_DII_raw_synthetic_Jan_Jun2026[Sector], O$1)</f>
        <v>0</v>
      </c>
      <c r="P3" s="23">
        <f>SUMIFS(FII_DII_raw_synthetic_Jan_Jun2026[Net_Flow_Cr], FII_DII_raw_synthetic_Jan_Jun2026[Date], $A3, FII_DII_raw_synthetic_Jan_Jun2026[Entity_Type], "FII", FII_DII_raw_synthetic_Jan_Jun2026[Sector], P$1)</f>
        <v>-569.32000000000005</v>
      </c>
      <c r="Q3" s="23" cm="1">
        <f t="array" ref="Q3">SUMPRODUCT(ABS(G3:P3))</f>
        <v>2020.6100000000001</v>
      </c>
      <c r="R3" s="23" cm="1">
        <f t="array" ref="R3">LARGE(ABS(G3:P3),1)+LARGE(ABS(G3:P3),2)</f>
        <v>1693.0900000000001</v>
      </c>
      <c r="S3" s="25">
        <f t="shared" ref="S3:S66" si="1">IFERROR(R3/Q3,0)</f>
        <v>0.83791033400804704</v>
      </c>
      <c r="T3" s="23">
        <f>IFERROR(_xlfn.XLOOKUP(A3, 'Nifty 50 Historical Data'!A:A, 'Nifty 50 Historical Data'!G:G), "")</f>
        <v>0.7</v>
      </c>
      <c r="W3" t="str">
        <f t="shared" ref="W3:W66" si="2">IF(B3&lt;=-$X$2,"Strong FII Selling",IF(B3&gt;=$X$2,"Strong FII Buying",IF(OR(B3=0,C3=0),"Neutral",IF(SIGN(B3)&lt;&gt;SIGN(C3),"Divergent Flow","Aligned Flow"))))</f>
        <v>Aligned Flow</v>
      </c>
      <c r="Y3">
        <f t="shared" ref="Y3:Y66" si="3">WEEKNUM(A3,2)</f>
        <v>1</v>
      </c>
      <c r="Z3" t="s">
        <v>56</v>
      </c>
      <c r="AA3">
        <v>1</v>
      </c>
      <c r="AB3">
        <v>1</v>
      </c>
      <c r="AH3" s="1">
        <f>AH2+1</f>
        <v>46205</v>
      </c>
      <c r="AI3">
        <f t="shared" ref="AI3:AI6" si="4">$D$129*$AE$2</f>
        <v>804.82</v>
      </c>
      <c r="AJ3">
        <f t="shared" ref="AJ3:AJ6" si="5">$E$129*$AF$2</f>
        <v>-396.66399999999987</v>
      </c>
    </row>
    <row r="4" spans="1:36">
      <c r="A4" s="24">
        <v>46026</v>
      </c>
      <c r="B4" s="23">
        <f>SUMIFS(FII_DII_raw_synthetic_Jan_Jun2026[Net_Flow_Cr], FII_DII_raw_synthetic_Jan_Jun2026[Date], A4, FII_DII_raw_synthetic_Jan_Jun2026[Entity_Type], "FII")</f>
        <v>1818.05</v>
      </c>
      <c r="C4" s="23">
        <f>SUMIFS(FII_DII_raw_synthetic_Jan_Jun2026[Net_Flow_Cr], FII_DII_raw_synthetic_Jan_Jun2026[Date], A4, FII_DII_raw_synthetic_Jan_Jun2026[Entity_Type], "DII")</f>
        <v>38.729999999999997</v>
      </c>
      <c r="D4" s="23"/>
      <c r="E4" s="23"/>
      <c r="F4" s="23">
        <f t="shared" si="0"/>
        <v>1779.32</v>
      </c>
      <c r="G4" s="23">
        <f>SUMIFS(FII_DII_raw_synthetic_Jan_Jun2026[Net_Flow_Cr], FII_DII_raw_synthetic_Jan_Jun2026[Date], $A4, FII_DII_raw_synthetic_Jan_Jun2026[Entity_Type], "FII", FII_DII_raw_synthetic_Jan_Jun2026[Sector], G$1)</f>
        <v>0</v>
      </c>
      <c r="H4" s="23">
        <f>SUMIFS(FII_DII_raw_synthetic_Jan_Jun2026[Net_Flow_Cr], FII_DII_raw_synthetic_Jan_Jun2026[Date], $A4, FII_DII_raw_synthetic_Jan_Jun2026[Entity_Type], "FII", FII_DII_raw_synthetic_Jan_Jun2026[Sector], H$1)</f>
        <v>0</v>
      </c>
      <c r="I4" s="23">
        <f>SUMIFS(FII_DII_raw_synthetic_Jan_Jun2026[Net_Flow_Cr], FII_DII_raw_synthetic_Jan_Jun2026[Date], $A4, FII_DII_raw_synthetic_Jan_Jun2026[Entity_Type], "FII", FII_DII_raw_synthetic_Jan_Jun2026[Sector], I$1)</f>
        <v>0</v>
      </c>
      <c r="J4" s="23">
        <f>SUMIFS(FII_DII_raw_synthetic_Jan_Jun2026[Net_Flow_Cr], FII_DII_raw_synthetic_Jan_Jun2026[Date], $A4, FII_DII_raw_synthetic_Jan_Jun2026[Entity_Type], "FII", FII_DII_raw_synthetic_Jan_Jun2026[Sector], J$1)</f>
        <v>1818.05</v>
      </c>
      <c r="K4" s="23">
        <f>SUMIFS(FII_DII_raw_synthetic_Jan_Jun2026[Net_Flow_Cr], FII_DII_raw_synthetic_Jan_Jun2026[Date], $A4, FII_DII_raw_synthetic_Jan_Jun2026[Entity_Type], "FII", FII_DII_raw_synthetic_Jan_Jun2026[Sector], K$1)</f>
        <v>0</v>
      </c>
      <c r="L4" s="23">
        <f>SUMIFS(FII_DII_raw_synthetic_Jan_Jun2026[Net_Flow_Cr], FII_DII_raw_synthetic_Jan_Jun2026[Date], $A4, FII_DII_raw_synthetic_Jan_Jun2026[Entity_Type], "FII", FII_DII_raw_synthetic_Jan_Jun2026[Sector], L$1)</f>
        <v>0</v>
      </c>
      <c r="M4" s="23">
        <f>SUMIFS(FII_DII_raw_synthetic_Jan_Jun2026[Net_Flow_Cr], FII_DII_raw_synthetic_Jan_Jun2026[Date], $A4, FII_DII_raw_synthetic_Jan_Jun2026[Entity_Type], "FII", FII_DII_raw_synthetic_Jan_Jun2026[Sector], M$1)</f>
        <v>0</v>
      </c>
      <c r="N4" s="23">
        <f>SUMIFS(FII_DII_raw_synthetic_Jan_Jun2026[Net_Flow_Cr], FII_DII_raw_synthetic_Jan_Jun2026[Date], $A4, FII_DII_raw_synthetic_Jan_Jun2026[Entity_Type], "FII", FII_DII_raw_synthetic_Jan_Jun2026[Sector], N$1)</f>
        <v>0</v>
      </c>
      <c r="O4" s="23">
        <f>SUMIFS(FII_DII_raw_synthetic_Jan_Jun2026[Net_Flow_Cr], FII_DII_raw_synthetic_Jan_Jun2026[Date], $A4, FII_DII_raw_synthetic_Jan_Jun2026[Entity_Type], "FII", FII_DII_raw_synthetic_Jan_Jun2026[Sector], O$1)</f>
        <v>0</v>
      </c>
      <c r="P4" s="23">
        <f>SUMIFS(FII_DII_raw_synthetic_Jan_Jun2026[Net_Flow_Cr], FII_DII_raw_synthetic_Jan_Jun2026[Date], $A4, FII_DII_raw_synthetic_Jan_Jun2026[Entity_Type], "FII", FII_DII_raw_synthetic_Jan_Jun2026[Sector], P$1)</f>
        <v>0</v>
      </c>
      <c r="Q4" s="23" cm="1">
        <f t="array" ref="Q4">SUMPRODUCT(ABS(G4:P4))</f>
        <v>1818.05</v>
      </c>
      <c r="R4" s="23" cm="1">
        <f t="array" ref="R4">LARGE(ABS(G4:P4),1)+LARGE(ABS(G4:P4),2)</f>
        <v>1818.05</v>
      </c>
      <c r="S4" s="25">
        <f t="shared" si="1"/>
        <v>1</v>
      </c>
      <c r="T4" s="23" t="str">
        <f>IFERROR(_xlfn.XLOOKUP(A4, 'Nifty 50 Historical Data'!A:A, 'Nifty 50 Historical Data'!G:G), "")</f>
        <v/>
      </c>
      <c r="W4" t="str">
        <f t="shared" si="2"/>
        <v>Aligned Flow</v>
      </c>
      <c r="Y4">
        <f t="shared" si="3"/>
        <v>1</v>
      </c>
      <c r="Z4" t="s">
        <v>57</v>
      </c>
      <c r="AA4">
        <v>-1.3</v>
      </c>
      <c r="AB4">
        <v>0.7</v>
      </c>
      <c r="AH4" s="1">
        <f t="shared" ref="AH4:AH6" si="6">AH3+1</f>
        <v>46206</v>
      </c>
      <c r="AI4">
        <f t="shared" si="4"/>
        <v>804.82</v>
      </c>
      <c r="AJ4">
        <f t="shared" si="5"/>
        <v>-396.66399999999987</v>
      </c>
    </row>
    <row r="5" spans="1:36">
      <c r="A5" s="24">
        <v>46027</v>
      </c>
      <c r="B5" s="23">
        <f>SUMIFS(FII_DII_raw_synthetic_Jan_Jun2026[Net_Flow_Cr], FII_DII_raw_synthetic_Jan_Jun2026[Date], A5, FII_DII_raw_synthetic_Jan_Jun2026[Entity_Type], "FII")</f>
        <v>-733.3</v>
      </c>
      <c r="C5" s="23">
        <f>SUMIFS(FII_DII_raw_synthetic_Jan_Jun2026[Net_Flow_Cr], FII_DII_raw_synthetic_Jan_Jun2026[Date], A5, FII_DII_raw_synthetic_Jan_Jun2026[Entity_Type], "DII")</f>
        <v>779.7</v>
      </c>
      <c r="D5" s="23"/>
      <c r="E5" s="23"/>
      <c r="F5" s="23">
        <f t="shared" si="0"/>
        <v>-46.400000000000091</v>
      </c>
      <c r="G5" s="23">
        <f>SUMIFS(FII_DII_raw_synthetic_Jan_Jun2026[Net_Flow_Cr], FII_DII_raw_synthetic_Jan_Jun2026[Date], $A5, FII_DII_raw_synthetic_Jan_Jun2026[Entity_Type], "FII", FII_DII_raw_synthetic_Jan_Jun2026[Sector], G$1)</f>
        <v>0</v>
      </c>
      <c r="H5" s="23">
        <f>SUMIFS(FII_DII_raw_synthetic_Jan_Jun2026[Net_Flow_Cr], FII_DII_raw_synthetic_Jan_Jun2026[Date], $A5, FII_DII_raw_synthetic_Jan_Jun2026[Entity_Type], "FII", FII_DII_raw_synthetic_Jan_Jun2026[Sector], H$1)</f>
        <v>0</v>
      </c>
      <c r="I5" s="23">
        <f>SUMIFS(FII_DII_raw_synthetic_Jan_Jun2026[Net_Flow_Cr], FII_DII_raw_synthetic_Jan_Jun2026[Date], $A5, FII_DII_raw_synthetic_Jan_Jun2026[Entity_Type], "FII", FII_DII_raw_synthetic_Jan_Jun2026[Sector], I$1)</f>
        <v>0</v>
      </c>
      <c r="J5" s="23">
        <f>SUMIFS(FII_DII_raw_synthetic_Jan_Jun2026[Net_Flow_Cr], FII_DII_raw_synthetic_Jan_Jun2026[Date], $A5, FII_DII_raw_synthetic_Jan_Jun2026[Entity_Type], "FII", FII_DII_raw_synthetic_Jan_Jun2026[Sector], J$1)</f>
        <v>0</v>
      </c>
      <c r="K5" s="23">
        <f>SUMIFS(FII_DII_raw_synthetic_Jan_Jun2026[Net_Flow_Cr], FII_DII_raw_synthetic_Jan_Jun2026[Date], $A5, FII_DII_raw_synthetic_Jan_Jun2026[Entity_Type], "FII", FII_DII_raw_synthetic_Jan_Jun2026[Sector], K$1)</f>
        <v>0</v>
      </c>
      <c r="L5" s="23">
        <f>SUMIFS(FII_DII_raw_synthetic_Jan_Jun2026[Net_Flow_Cr], FII_DII_raw_synthetic_Jan_Jun2026[Date], $A5, FII_DII_raw_synthetic_Jan_Jun2026[Entity_Type], "FII", FII_DII_raw_synthetic_Jan_Jun2026[Sector], L$1)</f>
        <v>0</v>
      </c>
      <c r="M5" s="23">
        <f>SUMIFS(FII_DII_raw_synthetic_Jan_Jun2026[Net_Flow_Cr], FII_DII_raw_synthetic_Jan_Jun2026[Date], $A5, FII_DII_raw_synthetic_Jan_Jun2026[Entity_Type], "FII", FII_DII_raw_synthetic_Jan_Jun2026[Sector], M$1)</f>
        <v>-733.3</v>
      </c>
      <c r="N5" s="23">
        <f>SUMIFS(FII_DII_raw_synthetic_Jan_Jun2026[Net_Flow_Cr], FII_DII_raw_synthetic_Jan_Jun2026[Date], $A5, FII_DII_raw_synthetic_Jan_Jun2026[Entity_Type], "FII", FII_DII_raw_synthetic_Jan_Jun2026[Sector], N$1)</f>
        <v>0</v>
      </c>
      <c r="O5" s="23">
        <f>SUMIFS(FII_DII_raw_synthetic_Jan_Jun2026[Net_Flow_Cr], FII_DII_raw_synthetic_Jan_Jun2026[Date], $A5, FII_DII_raw_synthetic_Jan_Jun2026[Entity_Type], "FII", FII_DII_raw_synthetic_Jan_Jun2026[Sector], O$1)</f>
        <v>0</v>
      </c>
      <c r="P5" s="23">
        <f>SUMIFS(FII_DII_raw_synthetic_Jan_Jun2026[Net_Flow_Cr], FII_DII_raw_synthetic_Jan_Jun2026[Date], $A5, FII_DII_raw_synthetic_Jan_Jun2026[Entity_Type], "FII", FII_DII_raw_synthetic_Jan_Jun2026[Sector], P$1)</f>
        <v>0</v>
      </c>
      <c r="Q5" s="23" cm="1">
        <f t="array" ref="Q5">SUMPRODUCT(ABS(G5:P5))</f>
        <v>733.3</v>
      </c>
      <c r="R5" s="23" cm="1">
        <f t="array" ref="R5">LARGE(ABS(G5:P5),1)+LARGE(ABS(G5:P5),2)</f>
        <v>733.3</v>
      </c>
      <c r="S5" s="25">
        <f t="shared" si="1"/>
        <v>1</v>
      </c>
      <c r="T5" s="23">
        <f>IFERROR(_xlfn.XLOOKUP(A5, 'Nifty 50 Historical Data'!A:A, 'Nifty 50 Historical Data'!G:G), "")</f>
        <v>-0.3</v>
      </c>
      <c r="W5" t="str">
        <f t="shared" si="2"/>
        <v>Divergent Flow</v>
      </c>
      <c r="Y5">
        <f t="shared" si="3"/>
        <v>2</v>
      </c>
      <c r="AH5" s="1">
        <f t="shared" si="6"/>
        <v>46207</v>
      </c>
      <c r="AI5">
        <f t="shared" si="4"/>
        <v>804.82</v>
      </c>
      <c r="AJ5">
        <f t="shared" si="5"/>
        <v>-396.66399999999987</v>
      </c>
    </row>
    <row r="6" spans="1:36">
      <c r="A6" s="24">
        <v>46028</v>
      </c>
      <c r="B6" s="23">
        <f>SUMIFS(FII_DII_raw_synthetic_Jan_Jun2026[Net_Flow_Cr], FII_DII_raw_synthetic_Jan_Jun2026[Date], A6, FII_DII_raw_synthetic_Jan_Jun2026[Entity_Type], "FII")</f>
        <v>-3622.57</v>
      </c>
      <c r="C6" s="23">
        <f>SUMIFS(FII_DII_raw_synthetic_Jan_Jun2026[Net_Flow_Cr], FII_DII_raw_synthetic_Jan_Jun2026[Date], A6, FII_DII_raw_synthetic_Jan_Jun2026[Entity_Type], "DII")</f>
        <v>3347.9</v>
      </c>
      <c r="D6" s="23">
        <f>AVERAGE(B2:B6)</f>
        <v>-1216.8080000000002</v>
      </c>
      <c r="E6" s="23">
        <f>AVERAGE(C2:C6)</f>
        <v>980.74000000000012</v>
      </c>
      <c r="F6" s="23">
        <f t="shared" si="0"/>
        <v>274.67000000000007</v>
      </c>
      <c r="G6" s="23">
        <f>SUMIFS(FII_DII_raw_synthetic_Jan_Jun2026[Net_Flow_Cr], FII_DII_raw_synthetic_Jan_Jun2026[Date], $A6, FII_DII_raw_synthetic_Jan_Jun2026[Entity_Type], "FII", FII_DII_raw_synthetic_Jan_Jun2026[Sector], G$1)</f>
        <v>0</v>
      </c>
      <c r="H6" s="23">
        <f>SUMIFS(FII_DII_raw_synthetic_Jan_Jun2026[Net_Flow_Cr], FII_DII_raw_synthetic_Jan_Jun2026[Date], $A6, FII_DII_raw_synthetic_Jan_Jun2026[Entity_Type], "FII", FII_DII_raw_synthetic_Jan_Jun2026[Sector], H$1)</f>
        <v>-309</v>
      </c>
      <c r="I6" s="23">
        <f>SUMIFS(FII_DII_raw_synthetic_Jan_Jun2026[Net_Flow_Cr], FII_DII_raw_synthetic_Jan_Jun2026[Date], $A6, FII_DII_raw_synthetic_Jan_Jun2026[Entity_Type], "FII", FII_DII_raw_synthetic_Jan_Jun2026[Sector], I$1)</f>
        <v>0</v>
      </c>
      <c r="J6" s="23">
        <f>SUMIFS(FII_DII_raw_synthetic_Jan_Jun2026[Net_Flow_Cr], FII_DII_raw_synthetic_Jan_Jun2026[Date], $A6, FII_DII_raw_synthetic_Jan_Jun2026[Entity_Type], "FII", FII_DII_raw_synthetic_Jan_Jun2026[Sector], J$1)</f>
        <v>-914.14</v>
      </c>
      <c r="K6" s="23">
        <f>SUMIFS(FII_DII_raw_synthetic_Jan_Jun2026[Net_Flow_Cr], FII_DII_raw_synthetic_Jan_Jun2026[Date], $A6, FII_DII_raw_synthetic_Jan_Jun2026[Entity_Type], "FII", FII_DII_raw_synthetic_Jan_Jun2026[Sector], K$1)</f>
        <v>-1736.24</v>
      </c>
      <c r="L6" s="23">
        <f>SUMIFS(FII_DII_raw_synthetic_Jan_Jun2026[Net_Flow_Cr], FII_DII_raw_synthetic_Jan_Jun2026[Date], $A6, FII_DII_raw_synthetic_Jan_Jun2026[Entity_Type], "FII", FII_DII_raw_synthetic_Jan_Jun2026[Sector], L$1)</f>
        <v>325.55</v>
      </c>
      <c r="M6" s="23">
        <f>SUMIFS(FII_DII_raw_synthetic_Jan_Jun2026[Net_Flow_Cr], FII_DII_raw_synthetic_Jan_Jun2026[Date], $A6, FII_DII_raw_synthetic_Jan_Jun2026[Entity_Type], "FII", FII_DII_raw_synthetic_Jan_Jun2026[Sector], M$1)</f>
        <v>0</v>
      </c>
      <c r="N6" s="23">
        <f>SUMIFS(FII_DII_raw_synthetic_Jan_Jun2026[Net_Flow_Cr], FII_DII_raw_synthetic_Jan_Jun2026[Date], $A6, FII_DII_raw_synthetic_Jan_Jun2026[Entity_Type], "FII", FII_DII_raw_synthetic_Jan_Jun2026[Sector], N$1)</f>
        <v>0</v>
      </c>
      <c r="O6" s="23">
        <f>SUMIFS(FII_DII_raw_synthetic_Jan_Jun2026[Net_Flow_Cr], FII_DII_raw_synthetic_Jan_Jun2026[Date], $A6, FII_DII_raw_synthetic_Jan_Jun2026[Entity_Type], "FII", FII_DII_raw_synthetic_Jan_Jun2026[Sector], O$1)</f>
        <v>-988.74</v>
      </c>
      <c r="P6" s="23">
        <f>SUMIFS(FII_DII_raw_synthetic_Jan_Jun2026[Net_Flow_Cr], FII_DII_raw_synthetic_Jan_Jun2026[Date], $A6, FII_DII_raw_synthetic_Jan_Jun2026[Entity_Type], "FII", FII_DII_raw_synthetic_Jan_Jun2026[Sector], P$1)</f>
        <v>0</v>
      </c>
      <c r="Q6" s="23" cm="1">
        <f t="array" ref="Q6">SUMPRODUCT(ABS(G6:P6))</f>
        <v>4273.67</v>
      </c>
      <c r="R6" s="23" cm="1">
        <f t="array" ref="R6">LARGE(ABS(G6:P6),1)+LARGE(ABS(G6:P6),2)</f>
        <v>2724.98</v>
      </c>
      <c r="S6" s="25">
        <f t="shared" si="1"/>
        <v>0.63762059307340058</v>
      </c>
      <c r="T6" s="23">
        <f>IFERROR(_xlfn.XLOOKUP(A6, 'Nifty 50 Historical Data'!A:A, 'Nifty 50 Historical Data'!G:G), "")</f>
        <v>-0.27</v>
      </c>
      <c r="W6" t="str">
        <f t="shared" si="2"/>
        <v>Strong FII Selling</v>
      </c>
      <c r="Y6">
        <f t="shared" si="3"/>
        <v>2</v>
      </c>
      <c r="AH6" s="1">
        <f t="shared" si="6"/>
        <v>46208</v>
      </c>
      <c r="AI6">
        <f t="shared" si="4"/>
        <v>804.82</v>
      </c>
      <c r="AJ6">
        <f t="shared" si="5"/>
        <v>-396.66399999999987</v>
      </c>
    </row>
    <row r="7" spans="1:36">
      <c r="A7" s="24">
        <v>46029</v>
      </c>
      <c r="B7" s="23">
        <f>SUMIFS(FII_DII_raw_synthetic_Jan_Jun2026[Net_Flow_Cr], FII_DII_raw_synthetic_Jan_Jun2026[Date], A7, FII_DII_raw_synthetic_Jan_Jun2026[Entity_Type], "FII")</f>
        <v>-1768.06</v>
      </c>
      <c r="C7" s="23">
        <f>SUMIFS(FII_DII_raw_synthetic_Jan_Jun2026[Net_Flow_Cr], FII_DII_raw_synthetic_Jan_Jun2026[Date], A7, FII_DII_raw_synthetic_Jan_Jun2026[Entity_Type], "DII")</f>
        <v>-372.19000000000005</v>
      </c>
      <c r="D7" s="23">
        <f t="shared" ref="D7:E7" si="7">AVERAGE(B3:B7)</f>
        <v>-1134.2900000000002</v>
      </c>
      <c r="E7" s="23">
        <f t="shared" si="7"/>
        <v>737.21199999999999</v>
      </c>
      <c r="F7" s="23">
        <f t="shared" si="0"/>
        <v>1395.87</v>
      </c>
      <c r="G7" s="23">
        <f>SUMIFS(FII_DII_raw_synthetic_Jan_Jun2026[Net_Flow_Cr], FII_DII_raw_synthetic_Jan_Jun2026[Date], $A7, FII_DII_raw_synthetic_Jan_Jun2026[Entity_Type], "FII", FII_DII_raw_synthetic_Jan_Jun2026[Sector], G$1)</f>
        <v>0</v>
      </c>
      <c r="H7" s="23">
        <f>SUMIFS(FII_DII_raw_synthetic_Jan_Jun2026[Net_Flow_Cr], FII_DII_raw_synthetic_Jan_Jun2026[Date], $A7, FII_DII_raw_synthetic_Jan_Jun2026[Entity_Type], "FII", FII_DII_raw_synthetic_Jan_Jun2026[Sector], H$1)</f>
        <v>0</v>
      </c>
      <c r="I7" s="23">
        <f>SUMIFS(FII_DII_raw_synthetic_Jan_Jun2026[Net_Flow_Cr], FII_DII_raw_synthetic_Jan_Jun2026[Date], $A7, FII_DII_raw_synthetic_Jan_Jun2026[Entity_Type], "FII", FII_DII_raw_synthetic_Jan_Jun2026[Sector], I$1)</f>
        <v>735.2</v>
      </c>
      <c r="J7" s="23">
        <f>SUMIFS(FII_DII_raw_synthetic_Jan_Jun2026[Net_Flow_Cr], FII_DII_raw_synthetic_Jan_Jun2026[Date], $A7, FII_DII_raw_synthetic_Jan_Jun2026[Entity_Type], "FII", FII_DII_raw_synthetic_Jan_Jun2026[Sector], J$1)</f>
        <v>-906.03</v>
      </c>
      <c r="K7" s="23">
        <f>SUMIFS(FII_DII_raw_synthetic_Jan_Jun2026[Net_Flow_Cr], FII_DII_raw_synthetic_Jan_Jun2026[Date], $A7, FII_DII_raw_synthetic_Jan_Jun2026[Entity_Type], "FII", FII_DII_raw_synthetic_Jan_Jun2026[Sector], K$1)</f>
        <v>0</v>
      </c>
      <c r="L7" s="23">
        <f>SUMIFS(FII_DII_raw_synthetic_Jan_Jun2026[Net_Flow_Cr], FII_DII_raw_synthetic_Jan_Jun2026[Date], $A7, FII_DII_raw_synthetic_Jan_Jun2026[Entity_Type], "FII", FII_DII_raw_synthetic_Jan_Jun2026[Sector], L$1)</f>
        <v>0</v>
      </c>
      <c r="M7" s="23">
        <f>SUMIFS(FII_DII_raw_synthetic_Jan_Jun2026[Net_Flow_Cr], FII_DII_raw_synthetic_Jan_Jun2026[Date], $A7, FII_DII_raw_synthetic_Jan_Jun2026[Entity_Type], "FII", FII_DII_raw_synthetic_Jan_Jun2026[Sector], M$1)</f>
        <v>-337.5</v>
      </c>
      <c r="N7" s="23">
        <f>SUMIFS(FII_DII_raw_synthetic_Jan_Jun2026[Net_Flow_Cr], FII_DII_raw_synthetic_Jan_Jun2026[Date], $A7, FII_DII_raw_synthetic_Jan_Jun2026[Entity_Type], "FII", FII_DII_raw_synthetic_Jan_Jun2026[Sector], N$1)</f>
        <v>0</v>
      </c>
      <c r="O7" s="23">
        <f>SUMIFS(FII_DII_raw_synthetic_Jan_Jun2026[Net_Flow_Cr], FII_DII_raw_synthetic_Jan_Jun2026[Date], $A7, FII_DII_raw_synthetic_Jan_Jun2026[Entity_Type], "FII", FII_DII_raw_synthetic_Jan_Jun2026[Sector], O$1)</f>
        <v>-1259.73</v>
      </c>
      <c r="P7" s="23">
        <f>SUMIFS(FII_DII_raw_synthetic_Jan_Jun2026[Net_Flow_Cr], FII_DII_raw_synthetic_Jan_Jun2026[Date], $A7, FII_DII_raw_synthetic_Jan_Jun2026[Entity_Type], "FII", FII_DII_raw_synthetic_Jan_Jun2026[Sector], P$1)</f>
        <v>0</v>
      </c>
      <c r="Q7" s="23" cm="1">
        <f t="array" ref="Q7">SUMPRODUCT(ABS(G7:P7))</f>
        <v>3238.46</v>
      </c>
      <c r="R7" s="23" cm="1">
        <f t="array" ref="R7">LARGE(ABS(G7:P7),1)+LARGE(ABS(G7:P7),2)</f>
        <v>2165.7600000000002</v>
      </c>
      <c r="S7" s="25">
        <f t="shared" si="1"/>
        <v>0.66876231295121757</v>
      </c>
      <c r="T7" s="23">
        <f>IFERROR(_xlfn.XLOOKUP(A7, 'Nifty 50 Historical Data'!A:A, 'Nifty 50 Historical Data'!G:G), "")</f>
        <v>-0.14000000000000001</v>
      </c>
      <c r="W7" t="str">
        <f t="shared" si="2"/>
        <v>Aligned Flow</v>
      </c>
      <c r="Y7">
        <f t="shared" si="3"/>
        <v>2</v>
      </c>
    </row>
    <row r="8" spans="1:36">
      <c r="A8" s="24">
        <v>46030</v>
      </c>
      <c r="B8" s="23">
        <f>SUMIFS(FII_DII_raw_synthetic_Jan_Jun2026[Net_Flow_Cr], FII_DII_raw_synthetic_Jan_Jun2026[Date], A8, FII_DII_raw_synthetic_Jan_Jun2026[Entity_Type], "FII")</f>
        <v>688.41000000000008</v>
      </c>
      <c r="C8" s="23">
        <f>SUMIFS(FII_DII_raw_synthetic_Jan_Jun2026[Net_Flow_Cr], FII_DII_raw_synthetic_Jan_Jun2026[Date], A8, FII_DII_raw_synthetic_Jan_Jun2026[Entity_Type], "DII")</f>
        <v>-1471.1599999999999</v>
      </c>
      <c r="D8" s="23">
        <f t="shared" ref="D8:E8" si="8">AVERAGE(B4:B8)</f>
        <v>-723.49400000000003</v>
      </c>
      <c r="E8" s="23">
        <f t="shared" si="8"/>
        <v>464.596</v>
      </c>
      <c r="F8" s="23">
        <f t="shared" si="0"/>
        <v>-782.74999999999977</v>
      </c>
      <c r="G8" s="23">
        <f>SUMIFS(FII_DII_raw_synthetic_Jan_Jun2026[Net_Flow_Cr], FII_DII_raw_synthetic_Jan_Jun2026[Date], $A8, FII_DII_raw_synthetic_Jan_Jun2026[Entity_Type], "FII", FII_DII_raw_synthetic_Jan_Jun2026[Sector], G$1)</f>
        <v>0</v>
      </c>
      <c r="H8" s="23">
        <f>SUMIFS(FII_DII_raw_synthetic_Jan_Jun2026[Net_Flow_Cr], FII_DII_raw_synthetic_Jan_Jun2026[Date], $A8, FII_DII_raw_synthetic_Jan_Jun2026[Entity_Type], "FII", FII_DII_raw_synthetic_Jan_Jun2026[Sector], H$1)</f>
        <v>63.68</v>
      </c>
      <c r="I8" s="23">
        <f>SUMIFS(FII_DII_raw_synthetic_Jan_Jun2026[Net_Flow_Cr], FII_DII_raw_synthetic_Jan_Jun2026[Date], $A8, FII_DII_raw_synthetic_Jan_Jun2026[Entity_Type], "FII", FII_DII_raw_synthetic_Jan_Jun2026[Sector], I$1)</f>
        <v>0</v>
      </c>
      <c r="J8" s="23">
        <f>SUMIFS(FII_DII_raw_synthetic_Jan_Jun2026[Net_Flow_Cr], FII_DII_raw_synthetic_Jan_Jun2026[Date], $A8, FII_DII_raw_synthetic_Jan_Jun2026[Entity_Type], "FII", FII_DII_raw_synthetic_Jan_Jun2026[Sector], J$1)</f>
        <v>0</v>
      </c>
      <c r="K8" s="23">
        <f>SUMIFS(FII_DII_raw_synthetic_Jan_Jun2026[Net_Flow_Cr], FII_DII_raw_synthetic_Jan_Jun2026[Date], $A8, FII_DII_raw_synthetic_Jan_Jun2026[Entity_Type], "FII", FII_DII_raw_synthetic_Jan_Jun2026[Sector], K$1)</f>
        <v>0</v>
      </c>
      <c r="L8" s="23">
        <f>SUMIFS(FII_DII_raw_synthetic_Jan_Jun2026[Net_Flow_Cr], FII_DII_raw_synthetic_Jan_Jun2026[Date], $A8, FII_DII_raw_synthetic_Jan_Jun2026[Entity_Type], "FII", FII_DII_raw_synthetic_Jan_Jun2026[Sector], L$1)</f>
        <v>0</v>
      </c>
      <c r="M8" s="23">
        <f>SUMIFS(FII_DII_raw_synthetic_Jan_Jun2026[Net_Flow_Cr], FII_DII_raw_synthetic_Jan_Jun2026[Date], $A8, FII_DII_raw_synthetic_Jan_Jun2026[Entity_Type], "FII", FII_DII_raw_synthetic_Jan_Jun2026[Sector], M$1)</f>
        <v>435.34</v>
      </c>
      <c r="N8" s="23">
        <f>SUMIFS(FII_DII_raw_synthetic_Jan_Jun2026[Net_Flow_Cr], FII_DII_raw_synthetic_Jan_Jun2026[Date], $A8, FII_DII_raw_synthetic_Jan_Jun2026[Entity_Type], "FII", FII_DII_raw_synthetic_Jan_Jun2026[Sector], N$1)</f>
        <v>-443.55</v>
      </c>
      <c r="O8" s="23">
        <f>SUMIFS(FII_DII_raw_synthetic_Jan_Jun2026[Net_Flow_Cr], FII_DII_raw_synthetic_Jan_Jun2026[Date], $A8, FII_DII_raw_synthetic_Jan_Jun2026[Entity_Type], "FII", FII_DII_raw_synthetic_Jan_Jun2026[Sector], O$1)</f>
        <v>0</v>
      </c>
      <c r="P8" s="23">
        <f>SUMIFS(FII_DII_raw_synthetic_Jan_Jun2026[Net_Flow_Cr], FII_DII_raw_synthetic_Jan_Jun2026[Date], $A8, FII_DII_raw_synthetic_Jan_Jun2026[Entity_Type], "FII", FII_DII_raw_synthetic_Jan_Jun2026[Sector], P$1)</f>
        <v>632.94000000000005</v>
      </c>
      <c r="Q8" s="23" cm="1">
        <f t="array" ref="Q8">SUMPRODUCT(ABS(G8:P8))</f>
        <v>1575.51</v>
      </c>
      <c r="R8" s="23" cm="1">
        <f t="array" ref="R8">LARGE(ABS(G8:P8),1)+LARGE(ABS(G8:P8),2)</f>
        <v>1076.49</v>
      </c>
      <c r="S8" s="25">
        <f t="shared" si="1"/>
        <v>0.68326446674410191</v>
      </c>
      <c r="T8" s="23">
        <f>IFERROR(_xlfn.XLOOKUP(A8, 'Nifty 50 Historical Data'!A:A, 'Nifty 50 Historical Data'!G:G), "")</f>
        <v>-1.01</v>
      </c>
      <c r="W8" t="str">
        <f t="shared" si="2"/>
        <v>Divergent Flow</v>
      </c>
      <c r="Y8">
        <f t="shared" si="3"/>
        <v>2</v>
      </c>
    </row>
    <row r="9" spans="1:36">
      <c r="A9" s="24">
        <v>46031</v>
      </c>
      <c r="B9" s="23">
        <f>SUMIFS(FII_DII_raw_synthetic_Jan_Jun2026[Net_Flow_Cr], FII_DII_raw_synthetic_Jan_Jun2026[Date], A9, FII_DII_raw_synthetic_Jan_Jun2026[Entity_Type], "FII")</f>
        <v>-1508.4699999999998</v>
      </c>
      <c r="C9" s="23">
        <f>SUMIFS(FII_DII_raw_synthetic_Jan_Jun2026[Net_Flow_Cr], FII_DII_raw_synthetic_Jan_Jun2026[Date], A9, FII_DII_raw_synthetic_Jan_Jun2026[Entity_Type], "DII")</f>
        <v>-452.34000000000003</v>
      </c>
      <c r="D9" s="23">
        <f t="shared" ref="D9:E9" si="9">AVERAGE(B5:B9)</f>
        <v>-1388.798</v>
      </c>
      <c r="E9" s="23">
        <f t="shared" si="9"/>
        <v>366.38200000000006</v>
      </c>
      <c r="F9" s="23">
        <f t="shared" si="0"/>
        <v>1056.1299999999997</v>
      </c>
      <c r="G9" s="23">
        <f>SUMIFS(FII_DII_raw_synthetic_Jan_Jun2026[Net_Flow_Cr], FII_DII_raw_synthetic_Jan_Jun2026[Date], $A9, FII_DII_raw_synthetic_Jan_Jun2026[Entity_Type], "FII", FII_DII_raw_synthetic_Jan_Jun2026[Sector], G$1)</f>
        <v>0</v>
      </c>
      <c r="H9" s="23">
        <f>SUMIFS(FII_DII_raw_synthetic_Jan_Jun2026[Net_Flow_Cr], FII_DII_raw_synthetic_Jan_Jun2026[Date], $A9, FII_DII_raw_synthetic_Jan_Jun2026[Entity_Type], "FII", FII_DII_raw_synthetic_Jan_Jun2026[Sector], H$1)</f>
        <v>-1245.1199999999999</v>
      </c>
      <c r="I9" s="23">
        <f>SUMIFS(FII_DII_raw_synthetic_Jan_Jun2026[Net_Flow_Cr], FII_DII_raw_synthetic_Jan_Jun2026[Date], $A9, FII_DII_raw_synthetic_Jan_Jun2026[Entity_Type], "FII", FII_DII_raw_synthetic_Jan_Jun2026[Sector], I$1)</f>
        <v>0</v>
      </c>
      <c r="J9" s="23">
        <f>SUMIFS(FII_DII_raw_synthetic_Jan_Jun2026[Net_Flow_Cr], FII_DII_raw_synthetic_Jan_Jun2026[Date], $A9, FII_DII_raw_synthetic_Jan_Jun2026[Entity_Type], "FII", FII_DII_raw_synthetic_Jan_Jun2026[Sector], J$1)</f>
        <v>-152.76999999999998</v>
      </c>
      <c r="K9" s="23">
        <f>SUMIFS(FII_DII_raw_synthetic_Jan_Jun2026[Net_Flow_Cr], FII_DII_raw_synthetic_Jan_Jun2026[Date], $A9, FII_DII_raw_synthetic_Jan_Jun2026[Entity_Type], "FII", FII_DII_raw_synthetic_Jan_Jun2026[Sector], K$1)</f>
        <v>0</v>
      </c>
      <c r="L9" s="23">
        <f>SUMIFS(FII_DII_raw_synthetic_Jan_Jun2026[Net_Flow_Cr], FII_DII_raw_synthetic_Jan_Jun2026[Date], $A9, FII_DII_raw_synthetic_Jan_Jun2026[Entity_Type], "FII", FII_DII_raw_synthetic_Jan_Jun2026[Sector], L$1)</f>
        <v>0</v>
      </c>
      <c r="M9" s="23">
        <f>SUMIFS(FII_DII_raw_synthetic_Jan_Jun2026[Net_Flow_Cr], FII_DII_raw_synthetic_Jan_Jun2026[Date], $A9, FII_DII_raw_synthetic_Jan_Jun2026[Entity_Type], "FII", FII_DII_raw_synthetic_Jan_Jun2026[Sector], M$1)</f>
        <v>-1417.34</v>
      </c>
      <c r="N9" s="23">
        <f>SUMIFS(FII_DII_raw_synthetic_Jan_Jun2026[Net_Flow_Cr], FII_DII_raw_synthetic_Jan_Jun2026[Date], $A9, FII_DII_raw_synthetic_Jan_Jun2026[Entity_Type], "FII", FII_DII_raw_synthetic_Jan_Jun2026[Sector], N$1)</f>
        <v>0</v>
      </c>
      <c r="O9" s="23">
        <f>SUMIFS(FII_DII_raw_synthetic_Jan_Jun2026[Net_Flow_Cr], FII_DII_raw_synthetic_Jan_Jun2026[Date], $A9, FII_DII_raw_synthetic_Jan_Jun2026[Entity_Type], "FII", FII_DII_raw_synthetic_Jan_Jun2026[Sector], O$1)</f>
        <v>1306.76</v>
      </c>
      <c r="P9" s="23">
        <f>SUMIFS(FII_DII_raw_synthetic_Jan_Jun2026[Net_Flow_Cr], FII_DII_raw_synthetic_Jan_Jun2026[Date], $A9, FII_DII_raw_synthetic_Jan_Jun2026[Entity_Type], "FII", FII_DII_raw_synthetic_Jan_Jun2026[Sector], P$1)</f>
        <v>0</v>
      </c>
      <c r="Q9" s="23" cm="1">
        <f t="array" ref="Q9">SUMPRODUCT(ABS(G9:P9))</f>
        <v>4121.99</v>
      </c>
      <c r="R9" s="23" cm="1">
        <f t="array" ref="R9">LARGE(ABS(G9:P9),1)+LARGE(ABS(G9:P9),2)</f>
        <v>2724.1</v>
      </c>
      <c r="S9" s="25">
        <f t="shared" si="1"/>
        <v>0.66087011370721427</v>
      </c>
      <c r="T9" s="23">
        <f>IFERROR(_xlfn.XLOOKUP(A9, 'Nifty 50 Historical Data'!A:A, 'Nifty 50 Historical Data'!G:G), "")</f>
        <v>-0.75</v>
      </c>
      <c r="W9" t="str">
        <f t="shared" si="2"/>
        <v>Aligned Flow</v>
      </c>
      <c r="Y9">
        <f t="shared" si="3"/>
        <v>2</v>
      </c>
    </row>
    <row r="10" spans="1:36">
      <c r="A10" s="24">
        <v>46034</v>
      </c>
      <c r="B10" s="23">
        <f>SUMIFS(FII_DII_raw_synthetic_Jan_Jun2026[Net_Flow_Cr], FII_DII_raw_synthetic_Jan_Jun2026[Date], A10, FII_DII_raw_synthetic_Jan_Jun2026[Entity_Type], "FII")</f>
        <v>-1801.5</v>
      </c>
      <c r="C10" s="23">
        <f>SUMIFS(FII_DII_raw_synthetic_Jan_Jun2026[Net_Flow_Cr], FII_DII_raw_synthetic_Jan_Jun2026[Date], A10, FII_DII_raw_synthetic_Jan_Jun2026[Entity_Type], "DII")</f>
        <v>929.8599999999999</v>
      </c>
      <c r="D10" s="23">
        <f t="shared" ref="D10:E10" si="10">AVERAGE(B6:B10)</f>
        <v>-1602.4380000000001</v>
      </c>
      <c r="E10" s="23">
        <f t="shared" si="10"/>
        <v>396.41399999999999</v>
      </c>
      <c r="F10" s="23">
        <f t="shared" si="0"/>
        <v>871.6400000000001</v>
      </c>
      <c r="G10" s="23">
        <f>SUMIFS(FII_DII_raw_synthetic_Jan_Jun2026[Net_Flow_Cr], FII_DII_raw_synthetic_Jan_Jun2026[Date], $A10, FII_DII_raw_synthetic_Jan_Jun2026[Entity_Type], "FII", FII_DII_raw_synthetic_Jan_Jun2026[Sector], G$1)</f>
        <v>-1386.78</v>
      </c>
      <c r="H10" s="23">
        <f>SUMIFS(FII_DII_raw_synthetic_Jan_Jun2026[Net_Flow_Cr], FII_DII_raw_synthetic_Jan_Jun2026[Date], $A10, FII_DII_raw_synthetic_Jan_Jun2026[Entity_Type], "FII", FII_DII_raw_synthetic_Jan_Jun2026[Sector], H$1)</f>
        <v>0</v>
      </c>
      <c r="I10" s="23">
        <f>SUMIFS(FII_DII_raw_synthetic_Jan_Jun2026[Net_Flow_Cr], FII_DII_raw_synthetic_Jan_Jun2026[Date], $A10, FII_DII_raw_synthetic_Jan_Jun2026[Entity_Type], "FII", FII_DII_raw_synthetic_Jan_Jun2026[Sector], I$1)</f>
        <v>-883.49</v>
      </c>
      <c r="J10" s="23">
        <f>SUMIFS(FII_DII_raw_synthetic_Jan_Jun2026[Net_Flow_Cr], FII_DII_raw_synthetic_Jan_Jun2026[Date], $A10, FII_DII_raw_synthetic_Jan_Jun2026[Entity_Type], "FII", FII_DII_raw_synthetic_Jan_Jun2026[Sector], J$1)</f>
        <v>0</v>
      </c>
      <c r="K10" s="23">
        <f>SUMIFS(FII_DII_raw_synthetic_Jan_Jun2026[Net_Flow_Cr], FII_DII_raw_synthetic_Jan_Jun2026[Date], $A10, FII_DII_raw_synthetic_Jan_Jun2026[Entity_Type], "FII", FII_DII_raw_synthetic_Jan_Jun2026[Sector], K$1)</f>
        <v>0</v>
      </c>
      <c r="L10" s="23">
        <f>SUMIFS(FII_DII_raw_synthetic_Jan_Jun2026[Net_Flow_Cr], FII_DII_raw_synthetic_Jan_Jun2026[Date], $A10, FII_DII_raw_synthetic_Jan_Jun2026[Entity_Type], "FII", FII_DII_raw_synthetic_Jan_Jun2026[Sector], L$1)</f>
        <v>0</v>
      </c>
      <c r="M10" s="23">
        <f>SUMIFS(FII_DII_raw_synthetic_Jan_Jun2026[Net_Flow_Cr], FII_DII_raw_synthetic_Jan_Jun2026[Date], $A10, FII_DII_raw_synthetic_Jan_Jun2026[Entity_Type], "FII", FII_DII_raw_synthetic_Jan_Jun2026[Sector], M$1)</f>
        <v>0</v>
      </c>
      <c r="N10" s="23">
        <f>SUMIFS(FII_DII_raw_synthetic_Jan_Jun2026[Net_Flow_Cr], FII_DII_raw_synthetic_Jan_Jun2026[Date], $A10, FII_DII_raw_synthetic_Jan_Jun2026[Entity_Type], "FII", FII_DII_raw_synthetic_Jan_Jun2026[Sector], N$1)</f>
        <v>-1148.22</v>
      </c>
      <c r="O10" s="23">
        <f>SUMIFS(FII_DII_raw_synthetic_Jan_Jun2026[Net_Flow_Cr], FII_DII_raw_synthetic_Jan_Jun2026[Date], $A10, FII_DII_raw_synthetic_Jan_Jun2026[Entity_Type], "FII", FII_DII_raw_synthetic_Jan_Jun2026[Sector], O$1)</f>
        <v>1616.99</v>
      </c>
      <c r="P10" s="23">
        <f>SUMIFS(FII_DII_raw_synthetic_Jan_Jun2026[Net_Flow_Cr], FII_DII_raw_synthetic_Jan_Jun2026[Date], $A10, FII_DII_raw_synthetic_Jan_Jun2026[Entity_Type], "FII", FII_DII_raw_synthetic_Jan_Jun2026[Sector], P$1)</f>
        <v>0</v>
      </c>
      <c r="Q10" s="23" cm="1">
        <f t="array" ref="Q10">SUMPRODUCT(ABS(G10:P10))</f>
        <v>5035.4799999999996</v>
      </c>
      <c r="R10" s="23" cm="1">
        <f t="array" ref="R10">LARGE(ABS(G10:P10),1)+LARGE(ABS(G10:P10),2)</f>
        <v>3003.77</v>
      </c>
      <c r="S10" s="25">
        <f t="shared" si="1"/>
        <v>0.59652108637111068</v>
      </c>
      <c r="T10" s="23">
        <f>IFERROR(_xlfn.XLOOKUP(A10, 'Nifty 50 Historical Data'!A:A, 'Nifty 50 Historical Data'!G:G), "")</f>
        <v>0.42</v>
      </c>
      <c r="W10" t="str">
        <f t="shared" si="2"/>
        <v>Divergent Flow</v>
      </c>
      <c r="Y10">
        <f t="shared" si="3"/>
        <v>3</v>
      </c>
    </row>
    <row r="11" spans="1:36">
      <c r="A11" s="24">
        <v>46035</v>
      </c>
      <c r="B11" s="23">
        <f>SUMIFS(FII_DII_raw_synthetic_Jan_Jun2026[Net_Flow_Cr], FII_DII_raw_synthetic_Jan_Jun2026[Date], A11, FII_DII_raw_synthetic_Jan_Jun2026[Entity_Type], "FII")</f>
        <v>1150.5900000000001</v>
      </c>
      <c r="C11" s="23">
        <f>SUMIFS(FII_DII_raw_synthetic_Jan_Jun2026[Net_Flow_Cr], FII_DII_raw_synthetic_Jan_Jun2026[Date], A11, FII_DII_raw_synthetic_Jan_Jun2026[Entity_Type], "DII")</f>
        <v>-2409.5800000000004</v>
      </c>
      <c r="D11" s="23">
        <f t="shared" ref="D11:E11" si="11">AVERAGE(B7:B11)</f>
        <v>-647.80599999999993</v>
      </c>
      <c r="E11" s="23">
        <f t="shared" si="11"/>
        <v>-755.08200000000011</v>
      </c>
      <c r="F11" s="23">
        <f t="shared" si="0"/>
        <v>-1258.9900000000002</v>
      </c>
      <c r="G11" s="23">
        <f>SUMIFS(FII_DII_raw_synthetic_Jan_Jun2026[Net_Flow_Cr], FII_DII_raw_synthetic_Jan_Jun2026[Date], $A11, FII_DII_raw_synthetic_Jan_Jun2026[Entity_Type], "FII", FII_DII_raw_synthetic_Jan_Jun2026[Sector], G$1)</f>
        <v>0</v>
      </c>
      <c r="H11" s="23">
        <f>SUMIFS(FII_DII_raw_synthetic_Jan_Jun2026[Net_Flow_Cr], FII_DII_raw_synthetic_Jan_Jun2026[Date], $A11, FII_DII_raw_synthetic_Jan_Jun2026[Entity_Type], "FII", FII_DII_raw_synthetic_Jan_Jun2026[Sector], H$1)</f>
        <v>0</v>
      </c>
      <c r="I11" s="23">
        <f>SUMIFS(FII_DII_raw_synthetic_Jan_Jun2026[Net_Flow_Cr], FII_DII_raw_synthetic_Jan_Jun2026[Date], $A11, FII_DII_raw_synthetic_Jan_Jun2026[Entity_Type], "FII", FII_DII_raw_synthetic_Jan_Jun2026[Sector], I$1)</f>
        <v>1256.68</v>
      </c>
      <c r="J11" s="23">
        <f>SUMIFS(FII_DII_raw_synthetic_Jan_Jun2026[Net_Flow_Cr], FII_DII_raw_synthetic_Jan_Jun2026[Date], $A11, FII_DII_raw_synthetic_Jan_Jun2026[Entity_Type], "FII", FII_DII_raw_synthetic_Jan_Jun2026[Sector], J$1)</f>
        <v>129.80000000000001</v>
      </c>
      <c r="K11" s="23">
        <f>SUMIFS(FII_DII_raw_synthetic_Jan_Jun2026[Net_Flow_Cr], FII_DII_raw_synthetic_Jan_Jun2026[Date], $A11, FII_DII_raw_synthetic_Jan_Jun2026[Entity_Type], "FII", FII_DII_raw_synthetic_Jan_Jun2026[Sector], K$1)</f>
        <v>0</v>
      </c>
      <c r="L11" s="23">
        <f>SUMIFS(FII_DII_raw_synthetic_Jan_Jun2026[Net_Flow_Cr], FII_DII_raw_synthetic_Jan_Jun2026[Date], $A11, FII_DII_raw_synthetic_Jan_Jun2026[Entity_Type], "FII", FII_DII_raw_synthetic_Jan_Jun2026[Sector], L$1)</f>
        <v>0</v>
      </c>
      <c r="M11" s="23">
        <f>SUMIFS(FII_DII_raw_synthetic_Jan_Jun2026[Net_Flow_Cr], FII_DII_raw_synthetic_Jan_Jun2026[Date], $A11, FII_DII_raw_synthetic_Jan_Jun2026[Entity_Type], "FII", FII_DII_raw_synthetic_Jan_Jun2026[Sector], M$1)</f>
        <v>-529.73</v>
      </c>
      <c r="N11" s="23">
        <f>SUMIFS(FII_DII_raw_synthetic_Jan_Jun2026[Net_Flow_Cr], FII_DII_raw_synthetic_Jan_Jun2026[Date], $A11, FII_DII_raw_synthetic_Jan_Jun2026[Entity_Type], "FII", FII_DII_raw_synthetic_Jan_Jun2026[Sector], N$1)</f>
        <v>293.83999999999997</v>
      </c>
      <c r="O11" s="23">
        <f>SUMIFS(FII_DII_raw_synthetic_Jan_Jun2026[Net_Flow_Cr], FII_DII_raw_synthetic_Jan_Jun2026[Date], $A11, FII_DII_raw_synthetic_Jan_Jun2026[Entity_Type], "FII", FII_DII_raw_synthetic_Jan_Jun2026[Sector], O$1)</f>
        <v>0</v>
      </c>
      <c r="P11" s="23">
        <f>SUMIFS(FII_DII_raw_synthetic_Jan_Jun2026[Net_Flow_Cr], FII_DII_raw_synthetic_Jan_Jun2026[Date], $A11, FII_DII_raw_synthetic_Jan_Jun2026[Entity_Type], "FII", FII_DII_raw_synthetic_Jan_Jun2026[Sector], P$1)</f>
        <v>0</v>
      </c>
      <c r="Q11" s="23" cm="1">
        <f t="array" ref="Q11">SUMPRODUCT(ABS(G11:P11))</f>
        <v>2210.0500000000002</v>
      </c>
      <c r="R11" s="23" cm="1">
        <f t="array" ref="R11">LARGE(ABS(G11:P11),1)+LARGE(ABS(G11:P11),2)</f>
        <v>1786.41</v>
      </c>
      <c r="S11" s="25">
        <f t="shared" si="1"/>
        <v>0.8083120291396122</v>
      </c>
      <c r="T11" s="23">
        <f>IFERROR(_xlfn.XLOOKUP(A11, 'Nifty 50 Historical Data'!A:A, 'Nifty 50 Historical Data'!G:G), "")</f>
        <v>-0.22</v>
      </c>
      <c r="W11" t="str">
        <f t="shared" si="2"/>
        <v>Divergent Flow</v>
      </c>
      <c r="Y11">
        <f t="shared" si="3"/>
        <v>3</v>
      </c>
    </row>
    <row r="12" spans="1:36">
      <c r="A12" s="24">
        <v>46036</v>
      </c>
      <c r="B12" s="23">
        <f>SUMIFS(FII_DII_raw_synthetic_Jan_Jun2026[Net_Flow_Cr], FII_DII_raw_synthetic_Jan_Jun2026[Date], A12, FII_DII_raw_synthetic_Jan_Jun2026[Entity_Type], "FII")</f>
        <v>435.56999999999994</v>
      </c>
      <c r="C12" s="23">
        <f>SUMIFS(FII_DII_raw_synthetic_Jan_Jun2026[Net_Flow_Cr], FII_DII_raw_synthetic_Jan_Jun2026[Date], A12, FII_DII_raw_synthetic_Jan_Jun2026[Entity_Type], "DII")</f>
        <v>-3322.44</v>
      </c>
      <c r="D12" s="23">
        <f t="shared" ref="D12:E12" si="12">AVERAGE(B8:B12)</f>
        <v>-207.07999999999987</v>
      </c>
      <c r="E12" s="23">
        <f t="shared" si="12"/>
        <v>-1345.1320000000001</v>
      </c>
      <c r="F12" s="23">
        <f t="shared" si="0"/>
        <v>-2886.87</v>
      </c>
      <c r="G12" s="23">
        <f>SUMIFS(FII_DII_raw_synthetic_Jan_Jun2026[Net_Flow_Cr], FII_DII_raw_synthetic_Jan_Jun2026[Date], $A12, FII_DII_raw_synthetic_Jan_Jun2026[Entity_Type], "FII", FII_DII_raw_synthetic_Jan_Jun2026[Sector], G$1)</f>
        <v>0</v>
      </c>
      <c r="H12" s="23">
        <f>SUMIFS(FII_DII_raw_synthetic_Jan_Jun2026[Net_Flow_Cr], FII_DII_raw_synthetic_Jan_Jun2026[Date], $A12, FII_DII_raw_synthetic_Jan_Jun2026[Entity_Type], "FII", FII_DII_raw_synthetic_Jan_Jun2026[Sector], H$1)</f>
        <v>-383.95</v>
      </c>
      <c r="I12" s="23">
        <f>SUMIFS(FII_DII_raw_synthetic_Jan_Jun2026[Net_Flow_Cr], FII_DII_raw_synthetic_Jan_Jun2026[Date], $A12, FII_DII_raw_synthetic_Jan_Jun2026[Entity_Type], "FII", FII_DII_raw_synthetic_Jan_Jun2026[Sector], I$1)</f>
        <v>0</v>
      </c>
      <c r="J12" s="23">
        <f>SUMIFS(FII_DII_raw_synthetic_Jan_Jun2026[Net_Flow_Cr], FII_DII_raw_synthetic_Jan_Jun2026[Date], $A12, FII_DII_raw_synthetic_Jan_Jun2026[Entity_Type], "FII", FII_DII_raw_synthetic_Jan_Jun2026[Sector], J$1)</f>
        <v>-656.69</v>
      </c>
      <c r="K12" s="23">
        <f>SUMIFS(FII_DII_raw_synthetic_Jan_Jun2026[Net_Flow_Cr], FII_DII_raw_synthetic_Jan_Jun2026[Date], $A12, FII_DII_raw_synthetic_Jan_Jun2026[Entity_Type], "FII", FII_DII_raw_synthetic_Jan_Jun2026[Sector], K$1)</f>
        <v>0</v>
      </c>
      <c r="L12" s="23">
        <f>SUMIFS(FII_DII_raw_synthetic_Jan_Jun2026[Net_Flow_Cr], FII_DII_raw_synthetic_Jan_Jun2026[Date], $A12, FII_DII_raw_synthetic_Jan_Jun2026[Entity_Type], "FII", FII_DII_raw_synthetic_Jan_Jun2026[Sector], L$1)</f>
        <v>0</v>
      </c>
      <c r="M12" s="23">
        <f>SUMIFS(FII_DII_raw_synthetic_Jan_Jun2026[Net_Flow_Cr], FII_DII_raw_synthetic_Jan_Jun2026[Date], $A12, FII_DII_raw_synthetic_Jan_Jun2026[Entity_Type], "FII", FII_DII_raw_synthetic_Jan_Jun2026[Sector], M$1)</f>
        <v>0</v>
      </c>
      <c r="N12" s="23">
        <f>SUMIFS(FII_DII_raw_synthetic_Jan_Jun2026[Net_Flow_Cr], FII_DII_raw_synthetic_Jan_Jun2026[Date], $A12, FII_DII_raw_synthetic_Jan_Jun2026[Entity_Type], "FII", FII_DII_raw_synthetic_Jan_Jun2026[Sector], N$1)</f>
        <v>1476.21</v>
      </c>
      <c r="O12" s="23">
        <f>SUMIFS(FII_DII_raw_synthetic_Jan_Jun2026[Net_Flow_Cr], FII_DII_raw_synthetic_Jan_Jun2026[Date], $A12, FII_DII_raw_synthetic_Jan_Jun2026[Entity_Type], "FII", FII_DII_raw_synthetic_Jan_Jun2026[Sector], O$1)</f>
        <v>0</v>
      </c>
      <c r="P12" s="23">
        <f>SUMIFS(FII_DII_raw_synthetic_Jan_Jun2026[Net_Flow_Cr], FII_DII_raw_synthetic_Jan_Jun2026[Date], $A12, FII_DII_raw_synthetic_Jan_Jun2026[Entity_Type], "FII", FII_DII_raw_synthetic_Jan_Jun2026[Sector], P$1)</f>
        <v>0</v>
      </c>
      <c r="Q12" s="23" cm="1">
        <f t="array" ref="Q12">SUMPRODUCT(ABS(G12:P12))</f>
        <v>2516.8500000000004</v>
      </c>
      <c r="R12" s="23" cm="1">
        <f t="array" ref="R12">LARGE(ABS(G12:P12),1)+LARGE(ABS(G12:P12),2)</f>
        <v>2132.9</v>
      </c>
      <c r="S12" s="25">
        <f t="shared" si="1"/>
        <v>0.84744819913781111</v>
      </c>
      <c r="T12" s="23">
        <f>IFERROR(_xlfn.XLOOKUP(A12, 'Nifty 50 Historical Data'!A:A, 'Nifty 50 Historical Data'!G:G), "")</f>
        <v>-0.26</v>
      </c>
      <c r="W12" t="str">
        <f t="shared" si="2"/>
        <v>Divergent Flow</v>
      </c>
      <c r="Y12">
        <f t="shared" si="3"/>
        <v>3</v>
      </c>
    </row>
    <row r="13" spans="1:36">
      <c r="A13" s="24">
        <v>46037</v>
      </c>
      <c r="B13" s="23">
        <f>SUMIFS(FII_DII_raw_synthetic_Jan_Jun2026[Net_Flow_Cr], FII_DII_raw_synthetic_Jan_Jun2026[Date], A13, FII_DII_raw_synthetic_Jan_Jun2026[Entity_Type], "FII")</f>
        <v>-2230.1999999999998</v>
      </c>
      <c r="C13" s="23">
        <f>SUMIFS(FII_DII_raw_synthetic_Jan_Jun2026[Net_Flow_Cr], FII_DII_raw_synthetic_Jan_Jun2026[Date], A13, FII_DII_raw_synthetic_Jan_Jun2026[Entity_Type], "DII")</f>
        <v>-1759.25</v>
      </c>
      <c r="D13" s="23">
        <f t="shared" ref="D13:E13" si="13">AVERAGE(B9:B13)</f>
        <v>-790.80199999999991</v>
      </c>
      <c r="E13" s="23">
        <f t="shared" si="13"/>
        <v>-1402.75</v>
      </c>
      <c r="F13" s="23">
        <f t="shared" si="0"/>
        <v>470.94999999999982</v>
      </c>
      <c r="G13" s="23">
        <f>SUMIFS(FII_DII_raw_synthetic_Jan_Jun2026[Net_Flow_Cr], FII_DII_raw_synthetic_Jan_Jun2026[Date], $A13, FII_DII_raw_synthetic_Jan_Jun2026[Entity_Type], "FII", FII_DII_raw_synthetic_Jan_Jun2026[Sector], G$1)</f>
        <v>0</v>
      </c>
      <c r="H13" s="23">
        <f>SUMIFS(FII_DII_raw_synthetic_Jan_Jun2026[Net_Flow_Cr], FII_DII_raw_synthetic_Jan_Jun2026[Date], $A13, FII_DII_raw_synthetic_Jan_Jun2026[Entity_Type], "FII", FII_DII_raw_synthetic_Jan_Jun2026[Sector], H$1)</f>
        <v>-714.02</v>
      </c>
      <c r="I13" s="23">
        <f>SUMIFS(FII_DII_raw_synthetic_Jan_Jun2026[Net_Flow_Cr], FII_DII_raw_synthetic_Jan_Jun2026[Date], $A13, FII_DII_raw_synthetic_Jan_Jun2026[Entity_Type], "FII", FII_DII_raw_synthetic_Jan_Jun2026[Sector], I$1)</f>
        <v>902.02</v>
      </c>
      <c r="J13" s="23">
        <f>SUMIFS(FII_DII_raw_synthetic_Jan_Jun2026[Net_Flow_Cr], FII_DII_raw_synthetic_Jan_Jun2026[Date], $A13, FII_DII_raw_synthetic_Jan_Jun2026[Entity_Type], "FII", FII_DII_raw_synthetic_Jan_Jun2026[Sector], J$1)</f>
        <v>0</v>
      </c>
      <c r="K13" s="23">
        <f>SUMIFS(FII_DII_raw_synthetic_Jan_Jun2026[Net_Flow_Cr], FII_DII_raw_synthetic_Jan_Jun2026[Date], $A13, FII_DII_raw_synthetic_Jan_Jun2026[Entity_Type], "FII", FII_DII_raw_synthetic_Jan_Jun2026[Sector], K$1)</f>
        <v>0</v>
      </c>
      <c r="L13" s="23">
        <f>SUMIFS(FII_DII_raw_synthetic_Jan_Jun2026[Net_Flow_Cr], FII_DII_raw_synthetic_Jan_Jun2026[Date], $A13, FII_DII_raw_synthetic_Jan_Jun2026[Entity_Type], "FII", FII_DII_raw_synthetic_Jan_Jun2026[Sector], L$1)</f>
        <v>0</v>
      </c>
      <c r="M13" s="23">
        <f>SUMIFS(FII_DII_raw_synthetic_Jan_Jun2026[Net_Flow_Cr], FII_DII_raw_synthetic_Jan_Jun2026[Date], $A13, FII_DII_raw_synthetic_Jan_Jun2026[Entity_Type], "FII", FII_DII_raw_synthetic_Jan_Jun2026[Sector], M$1)</f>
        <v>-1579.32</v>
      </c>
      <c r="N13" s="23">
        <f>SUMIFS(FII_DII_raw_synthetic_Jan_Jun2026[Net_Flow_Cr], FII_DII_raw_synthetic_Jan_Jun2026[Date], $A13, FII_DII_raw_synthetic_Jan_Jun2026[Entity_Type], "FII", FII_DII_raw_synthetic_Jan_Jun2026[Sector], N$1)</f>
        <v>0</v>
      </c>
      <c r="O13" s="23">
        <f>SUMIFS(FII_DII_raw_synthetic_Jan_Jun2026[Net_Flow_Cr], FII_DII_raw_synthetic_Jan_Jun2026[Date], $A13, FII_DII_raw_synthetic_Jan_Jun2026[Entity_Type], "FII", FII_DII_raw_synthetic_Jan_Jun2026[Sector], O$1)</f>
        <v>0</v>
      </c>
      <c r="P13" s="23">
        <f>SUMIFS(FII_DII_raw_synthetic_Jan_Jun2026[Net_Flow_Cr], FII_DII_raw_synthetic_Jan_Jun2026[Date], $A13, FII_DII_raw_synthetic_Jan_Jun2026[Entity_Type], "FII", FII_DII_raw_synthetic_Jan_Jun2026[Sector], P$1)</f>
        <v>-838.88</v>
      </c>
      <c r="Q13" s="23" cm="1">
        <f t="array" ref="Q13">SUMPRODUCT(ABS(G13:P13))</f>
        <v>4034.24</v>
      </c>
      <c r="R13" s="23" cm="1">
        <f t="array" ref="R13">LARGE(ABS(G13:P13),1)+LARGE(ABS(G13:P13),2)</f>
        <v>2481.34</v>
      </c>
      <c r="S13" s="25">
        <f t="shared" si="1"/>
        <v>0.61507000079321017</v>
      </c>
      <c r="T13" s="23" t="str">
        <f>IFERROR(_xlfn.XLOOKUP(A13, 'Nifty 50 Historical Data'!A:A, 'Nifty 50 Historical Data'!G:G), "")</f>
        <v/>
      </c>
      <c r="W13" t="str">
        <f t="shared" si="2"/>
        <v>Strong FII Selling</v>
      </c>
      <c r="Y13">
        <f t="shared" si="3"/>
        <v>3</v>
      </c>
    </row>
    <row r="14" spans="1:36">
      <c r="A14" s="24">
        <v>46038</v>
      </c>
      <c r="B14" s="23">
        <f>SUMIFS(FII_DII_raw_synthetic_Jan_Jun2026[Net_Flow_Cr], FII_DII_raw_synthetic_Jan_Jun2026[Date], A14, FII_DII_raw_synthetic_Jan_Jun2026[Entity_Type], "FII")</f>
        <v>-1653.04</v>
      </c>
      <c r="C14" s="23">
        <f>SUMIFS(FII_DII_raw_synthetic_Jan_Jun2026[Net_Flow_Cr], FII_DII_raw_synthetic_Jan_Jun2026[Date], A14, FII_DII_raw_synthetic_Jan_Jun2026[Entity_Type], "DII")</f>
        <v>-236.68000000000006</v>
      </c>
      <c r="D14" s="23">
        <f t="shared" ref="D14:E14" si="14">AVERAGE(B10:B14)</f>
        <v>-819.71600000000001</v>
      </c>
      <c r="E14" s="23">
        <f t="shared" si="14"/>
        <v>-1359.6180000000002</v>
      </c>
      <c r="F14" s="23">
        <f t="shared" si="0"/>
        <v>1416.36</v>
      </c>
      <c r="G14" s="23">
        <f>SUMIFS(FII_DII_raw_synthetic_Jan_Jun2026[Net_Flow_Cr], FII_DII_raw_synthetic_Jan_Jun2026[Date], $A14, FII_DII_raw_synthetic_Jan_Jun2026[Entity_Type], "FII", FII_DII_raw_synthetic_Jan_Jun2026[Sector], G$1)</f>
        <v>0</v>
      </c>
      <c r="H14" s="23">
        <f>SUMIFS(FII_DII_raw_synthetic_Jan_Jun2026[Net_Flow_Cr], FII_DII_raw_synthetic_Jan_Jun2026[Date], $A14, FII_DII_raw_synthetic_Jan_Jun2026[Entity_Type], "FII", FII_DII_raw_synthetic_Jan_Jun2026[Sector], H$1)</f>
        <v>0</v>
      </c>
      <c r="I14" s="23">
        <f>SUMIFS(FII_DII_raw_synthetic_Jan_Jun2026[Net_Flow_Cr], FII_DII_raw_synthetic_Jan_Jun2026[Date], $A14, FII_DII_raw_synthetic_Jan_Jun2026[Entity_Type], "FII", FII_DII_raw_synthetic_Jan_Jun2026[Sector], I$1)</f>
        <v>-286.79000000000002</v>
      </c>
      <c r="J14" s="23">
        <f>SUMIFS(FII_DII_raw_synthetic_Jan_Jun2026[Net_Flow_Cr], FII_DII_raw_synthetic_Jan_Jun2026[Date], $A14, FII_DII_raw_synthetic_Jan_Jun2026[Entity_Type], "FII", FII_DII_raw_synthetic_Jan_Jun2026[Sector], J$1)</f>
        <v>-1369.52</v>
      </c>
      <c r="K14" s="23">
        <f>SUMIFS(FII_DII_raw_synthetic_Jan_Jun2026[Net_Flow_Cr], FII_DII_raw_synthetic_Jan_Jun2026[Date], $A14, FII_DII_raw_synthetic_Jan_Jun2026[Entity_Type], "FII", FII_DII_raw_synthetic_Jan_Jun2026[Sector], K$1)</f>
        <v>0</v>
      </c>
      <c r="L14" s="23">
        <f>SUMIFS(FII_DII_raw_synthetic_Jan_Jun2026[Net_Flow_Cr], FII_DII_raw_synthetic_Jan_Jun2026[Date], $A14, FII_DII_raw_synthetic_Jan_Jun2026[Entity_Type], "FII", FII_DII_raw_synthetic_Jan_Jun2026[Sector], L$1)</f>
        <v>0</v>
      </c>
      <c r="M14" s="23">
        <f>SUMIFS(FII_DII_raw_synthetic_Jan_Jun2026[Net_Flow_Cr], FII_DII_raw_synthetic_Jan_Jun2026[Date], $A14, FII_DII_raw_synthetic_Jan_Jun2026[Entity_Type], "FII", FII_DII_raw_synthetic_Jan_Jun2026[Sector], M$1)</f>
        <v>3.27</v>
      </c>
      <c r="N14" s="23">
        <f>SUMIFS(FII_DII_raw_synthetic_Jan_Jun2026[Net_Flow_Cr], FII_DII_raw_synthetic_Jan_Jun2026[Date], $A14, FII_DII_raw_synthetic_Jan_Jun2026[Entity_Type], "FII", FII_DII_raw_synthetic_Jan_Jun2026[Sector], N$1)</f>
        <v>0</v>
      </c>
      <c r="O14" s="23">
        <f>SUMIFS(FII_DII_raw_synthetic_Jan_Jun2026[Net_Flow_Cr], FII_DII_raw_synthetic_Jan_Jun2026[Date], $A14, FII_DII_raw_synthetic_Jan_Jun2026[Entity_Type], "FII", FII_DII_raw_synthetic_Jan_Jun2026[Sector], O$1)</f>
        <v>0</v>
      </c>
      <c r="P14" s="23">
        <f>SUMIFS(FII_DII_raw_synthetic_Jan_Jun2026[Net_Flow_Cr], FII_DII_raw_synthetic_Jan_Jun2026[Date], $A14, FII_DII_raw_synthetic_Jan_Jun2026[Entity_Type], "FII", FII_DII_raw_synthetic_Jan_Jun2026[Sector], P$1)</f>
        <v>0</v>
      </c>
      <c r="Q14" s="23" cm="1">
        <f t="array" ref="Q14">SUMPRODUCT(ABS(G14:P14))</f>
        <v>1659.58</v>
      </c>
      <c r="R14" s="23" cm="1">
        <f t="array" ref="R14">LARGE(ABS(G14:P14),1)+LARGE(ABS(G14:P14),2)</f>
        <v>1656.31</v>
      </c>
      <c r="S14" s="25">
        <f t="shared" si="1"/>
        <v>0.99802962195254219</v>
      </c>
      <c r="T14" s="23">
        <f>IFERROR(_xlfn.XLOOKUP(A14, 'Nifty 50 Historical Data'!A:A, 'Nifty 50 Historical Data'!G:G), "")</f>
        <v>0.11</v>
      </c>
      <c r="W14" t="str">
        <f t="shared" si="2"/>
        <v>Aligned Flow</v>
      </c>
      <c r="Y14">
        <f t="shared" si="3"/>
        <v>3</v>
      </c>
    </row>
    <row r="15" spans="1:36">
      <c r="A15" s="24">
        <v>46041</v>
      </c>
      <c r="B15" s="23">
        <f>SUMIFS(FII_DII_raw_synthetic_Jan_Jun2026[Net_Flow_Cr], FII_DII_raw_synthetic_Jan_Jun2026[Date], A15, FII_DII_raw_synthetic_Jan_Jun2026[Entity_Type], "FII")</f>
        <v>-228.07999999999998</v>
      </c>
      <c r="C15" s="23">
        <f>SUMIFS(FII_DII_raw_synthetic_Jan_Jun2026[Net_Flow_Cr], FII_DII_raw_synthetic_Jan_Jun2026[Date], A15, FII_DII_raw_synthetic_Jan_Jun2026[Entity_Type], "DII")</f>
        <v>2934.5600000000004</v>
      </c>
      <c r="D15" s="23">
        <f t="shared" ref="D15:E15" si="15">AVERAGE(B11:B15)</f>
        <v>-505.03199999999998</v>
      </c>
      <c r="E15" s="23">
        <f t="shared" si="15"/>
        <v>-958.67800000000011</v>
      </c>
      <c r="F15" s="23">
        <f t="shared" si="0"/>
        <v>-2706.4800000000005</v>
      </c>
      <c r="G15" s="23">
        <f>SUMIFS(FII_DII_raw_synthetic_Jan_Jun2026[Net_Flow_Cr], FII_DII_raw_synthetic_Jan_Jun2026[Date], $A15, FII_DII_raw_synthetic_Jan_Jun2026[Entity_Type], "FII", FII_DII_raw_synthetic_Jan_Jun2026[Sector], G$1)</f>
        <v>0</v>
      </c>
      <c r="H15" s="23">
        <f>SUMIFS(FII_DII_raw_synthetic_Jan_Jun2026[Net_Flow_Cr], FII_DII_raw_synthetic_Jan_Jun2026[Date], $A15, FII_DII_raw_synthetic_Jan_Jun2026[Entity_Type], "FII", FII_DII_raw_synthetic_Jan_Jun2026[Sector], H$1)</f>
        <v>0</v>
      </c>
      <c r="I15" s="23">
        <f>SUMIFS(FII_DII_raw_synthetic_Jan_Jun2026[Net_Flow_Cr], FII_DII_raw_synthetic_Jan_Jun2026[Date], $A15, FII_DII_raw_synthetic_Jan_Jun2026[Entity_Type], "FII", FII_DII_raw_synthetic_Jan_Jun2026[Sector], I$1)</f>
        <v>0</v>
      </c>
      <c r="J15" s="23">
        <f>SUMIFS(FII_DII_raw_synthetic_Jan_Jun2026[Net_Flow_Cr], FII_DII_raw_synthetic_Jan_Jun2026[Date], $A15, FII_DII_raw_synthetic_Jan_Jun2026[Entity_Type], "FII", FII_DII_raw_synthetic_Jan_Jun2026[Sector], J$1)</f>
        <v>0</v>
      </c>
      <c r="K15" s="23">
        <f>SUMIFS(FII_DII_raw_synthetic_Jan_Jun2026[Net_Flow_Cr], FII_DII_raw_synthetic_Jan_Jun2026[Date], $A15, FII_DII_raw_synthetic_Jan_Jun2026[Entity_Type], "FII", FII_DII_raw_synthetic_Jan_Jun2026[Sector], K$1)</f>
        <v>0</v>
      </c>
      <c r="L15" s="23">
        <f>SUMIFS(FII_DII_raw_synthetic_Jan_Jun2026[Net_Flow_Cr], FII_DII_raw_synthetic_Jan_Jun2026[Date], $A15, FII_DII_raw_synthetic_Jan_Jun2026[Entity_Type], "FII", FII_DII_raw_synthetic_Jan_Jun2026[Sector], L$1)</f>
        <v>-258.93</v>
      </c>
      <c r="M15" s="23">
        <f>SUMIFS(FII_DII_raw_synthetic_Jan_Jun2026[Net_Flow_Cr], FII_DII_raw_synthetic_Jan_Jun2026[Date], $A15, FII_DII_raw_synthetic_Jan_Jun2026[Entity_Type], "FII", FII_DII_raw_synthetic_Jan_Jun2026[Sector], M$1)</f>
        <v>-271.11</v>
      </c>
      <c r="N15" s="23">
        <f>SUMIFS(FII_DII_raw_synthetic_Jan_Jun2026[Net_Flow_Cr], FII_DII_raw_synthetic_Jan_Jun2026[Date], $A15, FII_DII_raw_synthetic_Jan_Jun2026[Entity_Type], "FII", FII_DII_raw_synthetic_Jan_Jun2026[Sector], N$1)</f>
        <v>0</v>
      </c>
      <c r="O15" s="23">
        <f>SUMIFS(FII_DII_raw_synthetic_Jan_Jun2026[Net_Flow_Cr], FII_DII_raw_synthetic_Jan_Jun2026[Date], $A15, FII_DII_raw_synthetic_Jan_Jun2026[Entity_Type], "FII", FII_DII_raw_synthetic_Jan_Jun2026[Sector], O$1)</f>
        <v>0</v>
      </c>
      <c r="P15" s="23">
        <f>SUMIFS(FII_DII_raw_synthetic_Jan_Jun2026[Net_Flow_Cr], FII_DII_raw_synthetic_Jan_Jun2026[Date], $A15, FII_DII_raw_synthetic_Jan_Jun2026[Entity_Type], "FII", FII_DII_raw_synthetic_Jan_Jun2026[Sector], P$1)</f>
        <v>301.96000000000004</v>
      </c>
      <c r="Q15" s="23" cm="1">
        <f t="array" ref="Q15">SUMPRODUCT(ABS(G15:P15))</f>
        <v>832</v>
      </c>
      <c r="R15" s="23" cm="1">
        <f t="array" ref="R15">LARGE(ABS(G15:P15),1)+LARGE(ABS(G15:P15),2)</f>
        <v>573.07000000000005</v>
      </c>
      <c r="S15" s="25">
        <f t="shared" si="1"/>
        <v>0.68878605769230772</v>
      </c>
      <c r="T15" s="23">
        <f>IFERROR(_xlfn.XLOOKUP(A15, 'Nifty 50 Historical Data'!A:A, 'Nifty 50 Historical Data'!G:G), "")</f>
        <v>-0.42</v>
      </c>
      <c r="W15" t="str">
        <f t="shared" si="2"/>
        <v>Divergent Flow</v>
      </c>
      <c r="Y15">
        <f t="shared" si="3"/>
        <v>4</v>
      </c>
    </row>
    <row r="16" spans="1:36">
      <c r="A16" s="24">
        <v>46042</v>
      </c>
      <c r="B16" s="23">
        <f>SUMIFS(FII_DII_raw_synthetic_Jan_Jun2026[Net_Flow_Cr], FII_DII_raw_synthetic_Jan_Jun2026[Date], A16, FII_DII_raw_synthetic_Jan_Jun2026[Entity_Type], "FII")</f>
        <v>-362.41999999999985</v>
      </c>
      <c r="C16" s="23">
        <f>SUMIFS(FII_DII_raw_synthetic_Jan_Jun2026[Net_Flow_Cr], FII_DII_raw_synthetic_Jan_Jun2026[Date], A16, FII_DII_raw_synthetic_Jan_Jun2026[Entity_Type], "DII")</f>
        <v>-1119.5500000000002</v>
      </c>
      <c r="D16" s="23">
        <f t="shared" ref="D16:E16" si="16">AVERAGE(B12:B16)</f>
        <v>-807.63400000000001</v>
      </c>
      <c r="E16" s="23">
        <f t="shared" si="16"/>
        <v>-700.67200000000014</v>
      </c>
      <c r="F16" s="23">
        <f t="shared" si="0"/>
        <v>-757.13000000000034</v>
      </c>
      <c r="G16" s="23">
        <f>SUMIFS(FII_DII_raw_synthetic_Jan_Jun2026[Net_Flow_Cr], FII_DII_raw_synthetic_Jan_Jun2026[Date], $A16, FII_DII_raw_synthetic_Jan_Jun2026[Entity_Type], "FII", FII_DII_raw_synthetic_Jan_Jun2026[Sector], G$1)</f>
        <v>0</v>
      </c>
      <c r="H16" s="23">
        <f>SUMIFS(FII_DII_raw_synthetic_Jan_Jun2026[Net_Flow_Cr], FII_DII_raw_synthetic_Jan_Jun2026[Date], $A16, FII_DII_raw_synthetic_Jan_Jun2026[Entity_Type], "FII", FII_DII_raw_synthetic_Jan_Jun2026[Sector], H$1)</f>
        <v>734.59</v>
      </c>
      <c r="I16" s="23">
        <f>SUMIFS(FII_DII_raw_synthetic_Jan_Jun2026[Net_Flow_Cr], FII_DII_raw_synthetic_Jan_Jun2026[Date], $A16, FII_DII_raw_synthetic_Jan_Jun2026[Entity_Type], "FII", FII_DII_raw_synthetic_Jan_Jun2026[Sector], I$1)</f>
        <v>516.78</v>
      </c>
      <c r="J16" s="23">
        <f>SUMIFS(FII_DII_raw_synthetic_Jan_Jun2026[Net_Flow_Cr], FII_DII_raw_synthetic_Jan_Jun2026[Date], $A16, FII_DII_raw_synthetic_Jan_Jun2026[Entity_Type], "FII", FII_DII_raw_synthetic_Jan_Jun2026[Sector], J$1)</f>
        <v>42.33</v>
      </c>
      <c r="K16" s="23">
        <f>SUMIFS(FII_DII_raw_synthetic_Jan_Jun2026[Net_Flow_Cr], FII_DII_raw_synthetic_Jan_Jun2026[Date], $A16, FII_DII_raw_synthetic_Jan_Jun2026[Entity_Type], "FII", FII_DII_raw_synthetic_Jan_Jun2026[Sector], K$1)</f>
        <v>0</v>
      </c>
      <c r="L16" s="23">
        <f>SUMIFS(FII_DII_raw_synthetic_Jan_Jun2026[Net_Flow_Cr], FII_DII_raw_synthetic_Jan_Jun2026[Date], $A16, FII_DII_raw_synthetic_Jan_Jun2026[Entity_Type], "FII", FII_DII_raw_synthetic_Jan_Jun2026[Sector], L$1)</f>
        <v>0</v>
      </c>
      <c r="M16" s="23">
        <f>SUMIFS(FII_DII_raw_synthetic_Jan_Jun2026[Net_Flow_Cr], FII_DII_raw_synthetic_Jan_Jun2026[Date], $A16, FII_DII_raw_synthetic_Jan_Jun2026[Entity_Type], "FII", FII_DII_raw_synthetic_Jan_Jun2026[Sector], M$1)</f>
        <v>0</v>
      </c>
      <c r="N16" s="23">
        <f>SUMIFS(FII_DII_raw_synthetic_Jan_Jun2026[Net_Flow_Cr], FII_DII_raw_synthetic_Jan_Jun2026[Date], $A16, FII_DII_raw_synthetic_Jan_Jun2026[Entity_Type], "FII", FII_DII_raw_synthetic_Jan_Jun2026[Sector], N$1)</f>
        <v>-1656.12</v>
      </c>
      <c r="O16" s="23">
        <f>SUMIFS(FII_DII_raw_synthetic_Jan_Jun2026[Net_Flow_Cr], FII_DII_raw_synthetic_Jan_Jun2026[Date], $A16, FII_DII_raw_synthetic_Jan_Jun2026[Entity_Type], "FII", FII_DII_raw_synthetic_Jan_Jun2026[Sector], O$1)</f>
        <v>0</v>
      </c>
      <c r="P16" s="23">
        <f>SUMIFS(FII_DII_raw_synthetic_Jan_Jun2026[Net_Flow_Cr], FII_DII_raw_synthetic_Jan_Jun2026[Date], $A16, FII_DII_raw_synthetic_Jan_Jun2026[Entity_Type], "FII", FII_DII_raw_synthetic_Jan_Jun2026[Sector], P$1)</f>
        <v>0</v>
      </c>
      <c r="Q16" s="23" cm="1">
        <f t="array" ref="Q16">SUMPRODUCT(ABS(G16:P16))</f>
        <v>2949.8199999999997</v>
      </c>
      <c r="R16" s="23" cm="1">
        <f t="array" ref="R16">LARGE(ABS(G16:P16),1)+LARGE(ABS(G16:P16),2)</f>
        <v>2390.71</v>
      </c>
      <c r="S16" s="25">
        <f t="shared" si="1"/>
        <v>0.81045962126502646</v>
      </c>
      <c r="T16" s="23">
        <f>IFERROR(_xlfn.XLOOKUP(A16, 'Nifty 50 Historical Data'!A:A, 'Nifty 50 Historical Data'!G:G), "")</f>
        <v>-1.38</v>
      </c>
      <c r="W16" t="str">
        <f t="shared" si="2"/>
        <v>Aligned Flow</v>
      </c>
      <c r="Y16">
        <f t="shared" si="3"/>
        <v>4</v>
      </c>
    </row>
    <row r="17" spans="1:25">
      <c r="A17" s="24">
        <v>46043</v>
      </c>
      <c r="B17" s="23">
        <f>SUMIFS(FII_DII_raw_synthetic_Jan_Jun2026[Net_Flow_Cr], FII_DII_raw_synthetic_Jan_Jun2026[Date], A17, FII_DII_raw_synthetic_Jan_Jun2026[Entity_Type], "FII")</f>
        <v>-2813.09</v>
      </c>
      <c r="C17" s="23">
        <f>SUMIFS(FII_DII_raw_synthetic_Jan_Jun2026[Net_Flow_Cr], FII_DII_raw_synthetic_Jan_Jun2026[Date], A17, FII_DII_raw_synthetic_Jan_Jun2026[Entity_Type], "DII")</f>
        <v>2840.95</v>
      </c>
      <c r="D17" s="23">
        <f t="shared" ref="D17:E17" si="17">AVERAGE(B13:B17)</f>
        <v>-1457.366</v>
      </c>
      <c r="E17" s="23">
        <f t="shared" si="17"/>
        <v>532.00599999999997</v>
      </c>
      <c r="F17" s="23">
        <f t="shared" si="0"/>
        <v>-27.859999999999673</v>
      </c>
      <c r="G17" s="23">
        <f>SUMIFS(FII_DII_raw_synthetic_Jan_Jun2026[Net_Flow_Cr], FII_DII_raw_synthetic_Jan_Jun2026[Date], $A17, FII_DII_raw_synthetic_Jan_Jun2026[Entity_Type], "FII", FII_DII_raw_synthetic_Jan_Jun2026[Sector], G$1)</f>
        <v>0</v>
      </c>
      <c r="H17" s="23">
        <f>SUMIFS(FII_DII_raw_synthetic_Jan_Jun2026[Net_Flow_Cr], FII_DII_raw_synthetic_Jan_Jun2026[Date], $A17, FII_DII_raw_synthetic_Jan_Jun2026[Entity_Type], "FII", FII_DII_raw_synthetic_Jan_Jun2026[Sector], H$1)</f>
        <v>-126.75</v>
      </c>
      <c r="I17" s="23">
        <f>SUMIFS(FII_DII_raw_synthetic_Jan_Jun2026[Net_Flow_Cr], FII_DII_raw_synthetic_Jan_Jun2026[Date], $A17, FII_DII_raw_synthetic_Jan_Jun2026[Entity_Type], "FII", FII_DII_raw_synthetic_Jan_Jun2026[Sector], I$1)</f>
        <v>0</v>
      </c>
      <c r="J17" s="23">
        <f>SUMIFS(FII_DII_raw_synthetic_Jan_Jun2026[Net_Flow_Cr], FII_DII_raw_synthetic_Jan_Jun2026[Date], $A17, FII_DII_raw_synthetic_Jan_Jun2026[Entity_Type], "FII", FII_DII_raw_synthetic_Jan_Jun2026[Sector], J$1)</f>
        <v>0</v>
      </c>
      <c r="K17" s="23">
        <f>SUMIFS(FII_DII_raw_synthetic_Jan_Jun2026[Net_Flow_Cr], FII_DII_raw_synthetic_Jan_Jun2026[Date], $A17, FII_DII_raw_synthetic_Jan_Jun2026[Entity_Type], "FII", FII_DII_raw_synthetic_Jan_Jun2026[Sector], K$1)</f>
        <v>0</v>
      </c>
      <c r="L17" s="23">
        <f>SUMIFS(FII_DII_raw_synthetic_Jan_Jun2026[Net_Flow_Cr], FII_DII_raw_synthetic_Jan_Jun2026[Date], $A17, FII_DII_raw_synthetic_Jan_Jun2026[Entity_Type], "FII", FII_DII_raw_synthetic_Jan_Jun2026[Sector], L$1)</f>
        <v>0</v>
      </c>
      <c r="M17" s="23">
        <f>SUMIFS(FII_DII_raw_synthetic_Jan_Jun2026[Net_Flow_Cr], FII_DII_raw_synthetic_Jan_Jun2026[Date], $A17, FII_DII_raw_synthetic_Jan_Jun2026[Entity_Type], "FII", FII_DII_raw_synthetic_Jan_Jun2026[Sector], M$1)</f>
        <v>0</v>
      </c>
      <c r="N17" s="23">
        <f>SUMIFS(FII_DII_raw_synthetic_Jan_Jun2026[Net_Flow_Cr], FII_DII_raw_synthetic_Jan_Jun2026[Date], $A17, FII_DII_raw_synthetic_Jan_Jun2026[Entity_Type], "FII", FII_DII_raw_synthetic_Jan_Jun2026[Sector], N$1)</f>
        <v>0</v>
      </c>
      <c r="O17" s="23">
        <f>SUMIFS(FII_DII_raw_synthetic_Jan_Jun2026[Net_Flow_Cr], FII_DII_raw_synthetic_Jan_Jun2026[Date], $A17, FII_DII_raw_synthetic_Jan_Jun2026[Entity_Type], "FII", FII_DII_raw_synthetic_Jan_Jun2026[Sector], O$1)</f>
        <v>-1227.19</v>
      </c>
      <c r="P17" s="23">
        <f>SUMIFS(FII_DII_raw_synthetic_Jan_Jun2026[Net_Flow_Cr], FII_DII_raw_synthetic_Jan_Jun2026[Date], $A17, FII_DII_raw_synthetic_Jan_Jun2026[Entity_Type], "FII", FII_DII_raw_synthetic_Jan_Jun2026[Sector], P$1)</f>
        <v>-1459.15</v>
      </c>
      <c r="Q17" s="23" cm="1">
        <f t="array" ref="Q17">SUMPRODUCT(ABS(G17:P17))</f>
        <v>2813.09</v>
      </c>
      <c r="R17" s="23" cm="1">
        <f t="array" ref="R17">LARGE(ABS(G17:P17),1)+LARGE(ABS(G17:P17),2)</f>
        <v>2686.34</v>
      </c>
      <c r="S17" s="25">
        <f t="shared" si="1"/>
        <v>0.95494278533569843</v>
      </c>
      <c r="T17" s="23">
        <f>IFERROR(_xlfn.XLOOKUP(A17, 'Nifty 50 Historical Data'!A:A, 'Nifty 50 Historical Data'!G:G), "")</f>
        <v>-0.3</v>
      </c>
      <c r="W17" t="str">
        <f t="shared" si="2"/>
        <v>Strong FII Selling</v>
      </c>
      <c r="Y17">
        <f t="shared" si="3"/>
        <v>4</v>
      </c>
    </row>
    <row r="18" spans="1:25">
      <c r="A18" s="24">
        <v>46044</v>
      </c>
      <c r="B18" s="23">
        <f>SUMIFS(FII_DII_raw_synthetic_Jan_Jun2026[Net_Flow_Cr], FII_DII_raw_synthetic_Jan_Jun2026[Date], A18, FII_DII_raw_synthetic_Jan_Jun2026[Entity_Type], "FII")</f>
        <v>-1521.72</v>
      </c>
      <c r="C18" s="23">
        <f>SUMIFS(FII_DII_raw_synthetic_Jan_Jun2026[Net_Flow_Cr], FII_DII_raw_synthetic_Jan_Jun2026[Date], A18, FII_DII_raw_synthetic_Jan_Jun2026[Entity_Type], "DII")</f>
        <v>-2912.2000000000003</v>
      </c>
      <c r="D18" s="23">
        <f t="shared" ref="D18:E18" si="18">AVERAGE(B14:B18)</f>
        <v>-1315.67</v>
      </c>
      <c r="E18" s="23">
        <f t="shared" si="18"/>
        <v>301.41599999999988</v>
      </c>
      <c r="F18" s="23">
        <f t="shared" si="0"/>
        <v>-1390.4800000000002</v>
      </c>
      <c r="G18" s="23">
        <f>SUMIFS(FII_DII_raw_synthetic_Jan_Jun2026[Net_Flow_Cr], FII_DII_raw_synthetic_Jan_Jun2026[Date], $A18, FII_DII_raw_synthetic_Jan_Jun2026[Entity_Type], "FII", FII_DII_raw_synthetic_Jan_Jun2026[Sector], G$1)</f>
        <v>245.72</v>
      </c>
      <c r="H18" s="23">
        <f>SUMIFS(FII_DII_raw_synthetic_Jan_Jun2026[Net_Flow_Cr], FII_DII_raw_synthetic_Jan_Jun2026[Date], $A18, FII_DII_raw_synthetic_Jan_Jun2026[Entity_Type], "FII", FII_DII_raw_synthetic_Jan_Jun2026[Sector], H$1)</f>
        <v>0</v>
      </c>
      <c r="I18" s="23">
        <f>SUMIFS(FII_DII_raw_synthetic_Jan_Jun2026[Net_Flow_Cr], FII_DII_raw_synthetic_Jan_Jun2026[Date], $A18, FII_DII_raw_synthetic_Jan_Jun2026[Entity_Type], "FII", FII_DII_raw_synthetic_Jan_Jun2026[Sector], I$1)</f>
        <v>-1443.01</v>
      </c>
      <c r="J18" s="23">
        <f>SUMIFS(FII_DII_raw_synthetic_Jan_Jun2026[Net_Flow_Cr], FII_DII_raw_synthetic_Jan_Jun2026[Date], $A18, FII_DII_raw_synthetic_Jan_Jun2026[Entity_Type], "FII", FII_DII_raw_synthetic_Jan_Jun2026[Sector], J$1)</f>
        <v>0</v>
      </c>
      <c r="K18" s="23">
        <f>SUMIFS(FII_DII_raw_synthetic_Jan_Jun2026[Net_Flow_Cr], FII_DII_raw_synthetic_Jan_Jun2026[Date], $A18, FII_DII_raw_synthetic_Jan_Jun2026[Entity_Type], "FII", FII_DII_raw_synthetic_Jan_Jun2026[Sector], K$1)</f>
        <v>0</v>
      </c>
      <c r="L18" s="23">
        <f>SUMIFS(FII_DII_raw_synthetic_Jan_Jun2026[Net_Flow_Cr], FII_DII_raw_synthetic_Jan_Jun2026[Date], $A18, FII_DII_raw_synthetic_Jan_Jun2026[Entity_Type], "FII", FII_DII_raw_synthetic_Jan_Jun2026[Sector], L$1)</f>
        <v>0</v>
      </c>
      <c r="M18" s="23">
        <f>SUMIFS(FII_DII_raw_synthetic_Jan_Jun2026[Net_Flow_Cr], FII_DII_raw_synthetic_Jan_Jun2026[Date], $A18, FII_DII_raw_synthetic_Jan_Jun2026[Entity_Type], "FII", FII_DII_raw_synthetic_Jan_Jun2026[Sector], M$1)</f>
        <v>0</v>
      </c>
      <c r="N18" s="23">
        <f>SUMIFS(FII_DII_raw_synthetic_Jan_Jun2026[Net_Flow_Cr], FII_DII_raw_synthetic_Jan_Jun2026[Date], $A18, FII_DII_raw_synthetic_Jan_Jun2026[Entity_Type], "FII", FII_DII_raw_synthetic_Jan_Jun2026[Sector], N$1)</f>
        <v>0</v>
      </c>
      <c r="O18" s="23">
        <f>SUMIFS(FII_DII_raw_synthetic_Jan_Jun2026[Net_Flow_Cr], FII_DII_raw_synthetic_Jan_Jun2026[Date], $A18, FII_DII_raw_synthetic_Jan_Jun2026[Entity_Type], "FII", FII_DII_raw_synthetic_Jan_Jun2026[Sector], O$1)</f>
        <v>-324.43</v>
      </c>
      <c r="P18" s="23">
        <f>SUMIFS(FII_DII_raw_synthetic_Jan_Jun2026[Net_Flow_Cr], FII_DII_raw_synthetic_Jan_Jun2026[Date], $A18, FII_DII_raw_synthetic_Jan_Jun2026[Entity_Type], "FII", FII_DII_raw_synthetic_Jan_Jun2026[Sector], P$1)</f>
        <v>0</v>
      </c>
      <c r="Q18" s="23" cm="1">
        <f t="array" ref="Q18">SUMPRODUCT(ABS(G18:P18))</f>
        <v>2013.16</v>
      </c>
      <c r="R18" s="23" cm="1">
        <f t="array" ref="R18">LARGE(ABS(G18:P18),1)+LARGE(ABS(G18:P18),2)</f>
        <v>1767.44</v>
      </c>
      <c r="S18" s="25">
        <f t="shared" si="1"/>
        <v>0.87794313417711456</v>
      </c>
      <c r="T18" s="23">
        <f>IFERROR(_xlfn.XLOOKUP(A18, 'Nifty 50 Historical Data'!A:A, 'Nifty 50 Historical Data'!G:G), "")</f>
        <v>0.53</v>
      </c>
      <c r="W18" t="str">
        <f t="shared" si="2"/>
        <v>Aligned Flow</v>
      </c>
      <c r="Y18">
        <f t="shared" si="3"/>
        <v>4</v>
      </c>
    </row>
    <row r="19" spans="1:25">
      <c r="A19" s="24">
        <v>46045</v>
      </c>
      <c r="B19" s="23">
        <f>SUMIFS(FII_DII_raw_synthetic_Jan_Jun2026[Net_Flow_Cr], FII_DII_raw_synthetic_Jan_Jun2026[Date], A19, FII_DII_raw_synthetic_Jan_Jun2026[Entity_Type], "FII")</f>
        <v>-802.91</v>
      </c>
      <c r="C19" s="23">
        <f>SUMIFS(FII_DII_raw_synthetic_Jan_Jun2026[Net_Flow_Cr], FII_DII_raw_synthetic_Jan_Jun2026[Date], A19, FII_DII_raw_synthetic_Jan_Jun2026[Entity_Type], "DII")</f>
        <v>704.78</v>
      </c>
      <c r="D19" s="23">
        <f t="shared" ref="D19:E19" si="19">AVERAGE(B15:B19)</f>
        <v>-1145.644</v>
      </c>
      <c r="E19" s="23">
        <f t="shared" si="19"/>
        <v>489.70799999999997</v>
      </c>
      <c r="F19" s="23">
        <f t="shared" si="0"/>
        <v>98.13</v>
      </c>
      <c r="G19" s="23">
        <f>SUMIFS(FII_DII_raw_synthetic_Jan_Jun2026[Net_Flow_Cr], FII_DII_raw_synthetic_Jan_Jun2026[Date], $A19, FII_DII_raw_synthetic_Jan_Jun2026[Entity_Type], "FII", FII_DII_raw_synthetic_Jan_Jun2026[Sector], G$1)</f>
        <v>-519.48</v>
      </c>
      <c r="H19" s="23">
        <f>SUMIFS(FII_DII_raw_synthetic_Jan_Jun2026[Net_Flow_Cr], FII_DII_raw_synthetic_Jan_Jun2026[Date], $A19, FII_DII_raw_synthetic_Jan_Jun2026[Entity_Type], "FII", FII_DII_raw_synthetic_Jan_Jun2026[Sector], H$1)</f>
        <v>-587.51</v>
      </c>
      <c r="I19" s="23">
        <f>SUMIFS(FII_DII_raw_synthetic_Jan_Jun2026[Net_Flow_Cr], FII_DII_raw_synthetic_Jan_Jun2026[Date], $A19, FII_DII_raw_synthetic_Jan_Jun2026[Entity_Type], "FII", FII_DII_raw_synthetic_Jan_Jun2026[Sector], I$1)</f>
        <v>0</v>
      </c>
      <c r="J19" s="23">
        <f>SUMIFS(FII_DII_raw_synthetic_Jan_Jun2026[Net_Flow_Cr], FII_DII_raw_synthetic_Jan_Jun2026[Date], $A19, FII_DII_raw_synthetic_Jan_Jun2026[Entity_Type], "FII", FII_DII_raw_synthetic_Jan_Jun2026[Sector], J$1)</f>
        <v>0</v>
      </c>
      <c r="K19" s="23">
        <f>SUMIFS(FII_DII_raw_synthetic_Jan_Jun2026[Net_Flow_Cr], FII_DII_raw_synthetic_Jan_Jun2026[Date], $A19, FII_DII_raw_synthetic_Jan_Jun2026[Entity_Type], "FII", FII_DII_raw_synthetic_Jan_Jun2026[Sector], K$1)</f>
        <v>0</v>
      </c>
      <c r="L19" s="23">
        <f>SUMIFS(FII_DII_raw_synthetic_Jan_Jun2026[Net_Flow_Cr], FII_DII_raw_synthetic_Jan_Jun2026[Date], $A19, FII_DII_raw_synthetic_Jan_Jun2026[Entity_Type], "FII", FII_DII_raw_synthetic_Jan_Jun2026[Sector], L$1)</f>
        <v>0</v>
      </c>
      <c r="M19" s="23">
        <f>SUMIFS(FII_DII_raw_synthetic_Jan_Jun2026[Net_Flow_Cr], FII_DII_raw_synthetic_Jan_Jun2026[Date], $A19, FII_DII_raw_synthetic_Jan_Jun2026[Entity_Type], "FII", FII_DII_raw_synthetic_Jan_Jun2026[Sector], M$1)</f>
        <v>-802.93</v>
      </c>
      <c r="N19" s="23">
        <f>SUMIFS(FII_DII_raw_synthetic_Jan_Jun2026[Net_Flow_Cr], FII_DII_raw_synthetic_Jan_Jun2026[Date], $A19, FII_DII_raw_synthetic_Jan_Jun2026[Entity_Type], "FII", FII_DII_raw_synthetic_Jan_Jun2026[Sector], N$1)</f>
        <v>0</v>
      </c>
      <c r="O19" s="23">
        <f>SUMIFS(FII_DII_raw_synthetic_Jan_Jun2026[Net_Flow_Cr], FII_DII_raw_synthetic_Jan_Jun2026[Date], $A19, FII_DII_raw_synthetic_Jan_Jun2026[Entity_Type], "FII", FII_DII_raw_synthetic_Jan_Jun2026[Sector], O$1)</f>
        <v>0</v>
      </c>
      <c r="P19" s="23">
        <f>SUMIFS(FII_DII_raw_synthetic_Jan_Jun2026[Net_Flow_Cr], FII_DII_raw_synthetic_Jan_Jun2026[Date], $A19, FII_DII_raw_synthetic_Jan_Jun2026[Entity_Type], "FII", FII_DII_raw_synthetic_Jan_Jun2026[Sector], P$1)</f>
        <v>1107.01</v>
      </c>
      <c r="Q19" s="23" cm="1">
        <f t="array" ref="Q19">SUMPRODUCT(ABS(G19:P19))</f>
        <v>3016.9300000000003</v>
      </c>
      <c r="R19" s="23" cm="1">
        <f t="array" ref="R19">LARGE(ABS(G19:P19),1)+LARGE(ABS(G19:P19),2)</f>
        <v>1909.94</v>
      </c>
      <c r="S19" s="25">
        <f t="shared" si="1"/>
        <v>0.63307401895304161</v>
      </c>
      <c r="T19" s="23">
        <f>IFERROR(_xlfn.XLOOKUP(A19, 'Nifty 50 Historical Data'!A:A, 'Nifty 50 Historical Data'!G:G), "")</f>
        <v>-0.95</v>
      </c>
      <c r="W19" t="str">
        <f t="shared" si="2"/>
        <v>Divergent Flow</v>
      </c>
      <c r="Y19">
        <f t="shared" si="3"/>
        <v>4</v>
      </c>
    </row>
    <row r="20" spans="1:25">
      <c r="A20" s="24">
        <v>46049</v>
      </c>
      <c r="B20" s="23">
        <f>SUMIFS(FII_DII_raw_synthetic_Jan_Jun2026[Net_Flow_Cr], FII_DII_raw_synthetic_Jan_Jun2026[Date], A20, FII_DII_raw_synthetic_Jan_Jun2026[Entity_Type], "FII")</f>
        <v>722.96</v>
      </c>
      <c r="C20" s="23">
        <f>SUMIFS(FII_DII_raw_synthetic_Jan_Jun2026[Net_Flow_Cr], FII_DII_raw_synthetic_Jan_Jun2026[Date], A20, FII_DII_raw_synthetic_Jan_Jun2026[Entity_Type], "DII")</f>
        <v>-1053.5</v>
      </c>
      <c r="D20" s="23">
        <f t="shared" ref="D20:E20" si="20">AVERAGE(B16:B20)</f>
        <v>-955.43600000000004</v>
      </c>
      <c r="E20" s="23">
        <f t="shared" si="20"/>
        <v>-307.90400000000011</v>
      </c>
      <c r="F20" s="23">
        <f t="shared" si="0"/>
        <v>-330.53999999999996</v>
      </c>
      <c r="G20" s="23">
        <f>SUMIFS(FII_DII_raw_synthetic_Jan_Jun2026[Net_Flow_Cr], FII_DII_raw_synthetic_Jan_Jun2026[Date], $A20, FII_DII_raw_synthetic_Jan_Jun2026[Entity_Type], "FII", FII_DII_raw_synthetic_Jan_Jun2026[Sector], G$1)</f>
        <v>46.8</v>
      </c>
      <c r="H20" s="23">
        <f>SUMIFS(FII_DII_raw_synthetic_Jan_Jun2026[Net_Flow_Cr], FII_DII_raw_synthetic_Jan_Jun2026[Date], $A20, FII_DII_raw_synthetic_Jan_Jun2026[Entity_Type], "FII", FII_DII_raw_synthetic_Jan_Jun2026[Sector], H$1)</f>
        <v>1122.44</v>
      </c>
      <c r="I20" s="23">
        <f>SUMIFS(FII_DII_raw_synthetic_Jan_Jun2026[Net_Flow_Cr], FII_DII_raw_synthetic_Jan_Jun2026[Date], $A20, FII_DII_raw_synthetic_Jan_Jun2026[Entity_Type], "FII", FII_DII_raw_synthetic_Jan_Jun2026[Sector], I$1)</f>
        <v>0</v>
      </c>
      <c r="J20" s="23">
        <f>SUMIFS(FII_DII_raw_synthetic_Jan_Jun2026[Net_Flow_Cr], FII_DII_raw_synthetic_Jan_Jun2026[Date], $A20, FII_DII_raw_synthetic_Jan_Jun2026[Entity_Type], "FII", FII_DII_raw_synthetic_Jan_Jun2026[Sector], J$1)</f>
        <v>0</v>
      </c>
      <c r="K20" s="23">
        <f>SUMIFS(FII_DII_raw_synthetic_Jan_Jun2026[Net_Flow_Cr], FII_DII_raw_synthetic_Jan_Jun2026[Date], $A20, FII_DII_raw_synthetic_Jan_Jun2026[Entity_Type], "FII", FII_DII_raw_synthetic_Jan_Jun2026[Sector], K$1)</f>
        <v>0</v>
      </c>
      <c r="L20" s="23">
        <f>SUMIFS(FII_DII_raw_synthetic_Jan_Jun2026[Net_Flow_Cr], FII_DII_raw_synthetic_Jan_Jun2026[Date], $A20, FII_DII_raw_synthetic_Jan_Jun2026[Entity_Type], "FII", FII_DII_raw_synthetic_Jan_Jun2026[Sector], L$1)</f>
        <v>-153.18</v>
      </c>
      <c r="M20" s="23">
        <f>SUMIFS(FII_DII_raw_synthetic_Jan_Jun2026[Net_Flow_Cr], FII_DII_raw_synthetic_Jan_Jun2026[Date], $A20, FII_DII_raw_synthetic_Jan_Jun2026[Entity_Type], "FII", FII_DII_raw_synthetic_Jan_Jun2026[Sector], M$1)</f>
        <v>0</v>
      </c>
      <c r="N20" s="23">
        <f>SUMIFS(FII_DII_raw_synthetic_Jan_Jun2026[Net_Flow_Cr], FII_DII_raw_synthetic_Jan_Jun2026[Date], $A20, FII_DII_raw_synthetic_Jan_Jun2026[Entity_Type], "FII", FII_DII_raw_synthetic_Jan_Jun2026[Sector], N$1)</f>
        <v>0</v>
      </c>
      <c r="O20" s="23">
        <f>SUMIFS(FII_DII_raw_synthetic_Jan_Jun2026[Net_Flow_Cr], FII_DII_raw_synthetic_Jan_Jun2026[Date], $A20, FII_DII_raw_synthetic_Jan_Jun2026[Entity_Type], "FII", FII_DII_raw_synthetic_Jan_Jun2026[Sector], O$1)</f>
        <v>0</v>
      </c>
      <c r="P20" s="23">
        <f>SUMIFS(FII_DII_raw_synthetic_Jan_Jun2026[Net_Flow_Cr], FII_DII_raw_synthetic_Jan_Jun2026[Date], $A20, FII_DII_raw_synthetic_Jan_Jun2026[Entity_Type], "FII", FII_DII_raw_synthetic_Jan_Jun2026[Sector], P$1)</f>
        <v>-293.10000000000002</v>
      </c>
      <c r="Q20" s="23" cm="1">
        <f t="array" ref="Q20">SUMPRODUCT(ABS(G20:P20))</f>
        <v>1615.52</v>
      </c>
      <c r="R20" s="23" cm="1">
        <f t="array" ref="R20">LARGE(ABS(G20:P20),1)+LARGE(ABS(G20:P20),2)</f>
        <v>1415.54</v>
      </c>
      <c r="S20" s="25">
        <f t="shared" si="1"/>
        <v>0.87621323165296616</v>
      </c>
      <c r="T20" s="23">
        <f>IFERROR(_xlfn.XLOOKUP(A20, 'Nifty 50 Historical Data'!A:A, 'Nifty 50 Historical Data'!G:G), "")</f>
        <v>0.51</v>
      </c>
      <c r="W20" t="str">
        <f t="shared" si="2"/>
        <v>Divergent Flow</v>
      </c>
      <c r="Y20">
        <f t="shared" si="3"/>
        <v>5</v>
      </c>
    </row>
    <row r="21" spans="1:25">
      <c r="A21" s="24">
        <v>46050</v>
      </c>
      <c r="B21" s="23">
        <f>SUMIFS(FII_DII_raw_synthetic_Jan_Jun2026[Net_Flow_Cr], FII_DII_raw_synthetic_Jan_Jun2026[Date], A21, FII_DII_raw_synthetic_Jan_Jun2026[Entity_Type], "FII")</f>
        <v>1613.1</v>
      </c>
      <c r="C21" s="23">
        <f>SUMIFS(FII_DII_raw_synthetic_Jan_Jun2026[Net_Flow_Cr], FII_DII_raw_synthetic_Jan_Jun2026[Date], A21, FII_DII_raw_synthetic_Jan_Jun2026[Entity_Type], "DII")</f>
        <v>-587.46000000000026</v>
      </c>
      <c r="D21" s="23">
        <f t="shared" ref="D21:E21" si="21">AVERAGE(B17:B21)</f>
        <v>-560.33200000000011</v>
      </c>
      <c r="E21" s="23">
        <f t="shared" si="21"/>
        <v>-201.48600000000016</v>
      </c>
      <c r="F21" s="23">
        <f t="shared" si="0"/>
        <v>1025.6399999999996</v>
      </c>
      <c r="G21" s="23">
        <f>SUMIFS(FII_DII_raw_synthetic_Jan_Jun2026[Net_Flow_Cr], FII_DII_raw_synthetic_Jan_Jun2026[Date], $A21, FII_DII_raw_synthetic_Jan_Jun2026[Entity_Type], "FII", FII_DII_raw_synthetic_Jan_Jun2026[Sector], G$1)</f>
        <v>763.96</v>
      </c>
      <c r="H21" s="23">
        <f>SUMIFS(FII_DII_raw_synthetic_Jan_Jun2026[Net_Flow_Cr], FII_DII_raw_synthetic_Jan_Jun2026[Date], $A21, FII_DII_raw_synthetic_Jan_Jun2026[Entity_Type], "FII", FII_DII_raw_synthetic_Jan_Jun2026[Sector], H$1)</f>
        <v>0</v>
      </c>
      <c r="I21" s="23">
        <f>SUMIFS(FII_DII_raw_synthetic_Jan_Jun2026[Net_Flow_Cr], FII_DII_raw_synthetic_Jan_Jun2026[Date], $A21, FII_DII_raw_synthetic_Jan_Jun2026[Entity_Type], "FII", FII_DII_raw_synthetic_Jan_Jun2026[Sector], I$1)</f>
        <v>0</v>
      </c>
      <c r="J21" s="23">
        <f>SUMIFS(FII_DII_raw_synthetic_Jan_Jun2026[Net_Flow_Cr], FII_DII_raw_synthetic_Jan_Jun2026[Date], $A21, FII_DII_raw_synthetic_Jan_Jun2026[Entity_Type], "FII", FII_DII_raw_synthetic_Jan_Jun2026[Sector], J$1)</f>
        <v>0</v>
      </c>
      <c r="K21" s="23">
        <f>SUMIFS(FII_DII_raw_synthetic_Jan_Jun2026[Net_Flow_Cr], FII_DII_raw_synthetic_Jan_Jun2026[Date], $A21, FII_DII_raw_synthetic_Jan_Jun2026[Entity_Type], "FII", FII_DII_raw_synthetic_Jan_Jun2026[Sector], K$1)</f>
        <v>0</v>
      </c>
      <c r="L21" s="23">
        <f>SUMIFS(FII_DII_raw_synthetic_Jan_Jun2026[Net_Flow_Cr], FII_DII_raw_synthetic_Jan_Jun2026[Date], $A21, FII_DII_raw_synthetic_Jan_Jun2026[Entity_Type], "FII", FII_DII_raw_synthetic_Jan_Jun2026[Sector], L$1)</f>
        <v>207.34</v>
      </c>
      <c r="M21" s="23">
        <f>SUMIFS(FII_DII_raw_synthetic_Jan_Jun2026[Net_Flow_Cr], FII_DII_raw_synthetic_Jan_Jun2026[Date], $A21, FII_DII_raw_synthetic_Jan_Jun2026[Entity_Type], "FII", FII_DII_raw_synthetic_Jan_Jun2026[Sector], M$1)</f>
        <v>0</v>
      </c>
      <c r="N21" s="23">
        <f>SUMIFS(FII_DII_raw_synthetic_Jan_Jun2026[Net_Flow_Cr], FII_DII_raw_synthetic_Jan_Jun2026[Date], $A21, FII_DII_raw_synthetic_Jan_Jun2026[Entity_Type], "FII", FII_DII_raw_synthetic_Jan_Jun2026[Sector], N$1)</f>
        <v>641.79999999999995</v>
      </c>
      <c r="O21" s="23">
        <f>SUMIFS(FII_DII_raw_synthetic_Jan_Jun2026[Net_Flow_Cr], FII_DII_raw_synthetic_Jan_Jun2026[Date], $A21, FII_DII_raw_synthetic_Jan_Jun2026[Entity_Type], "FII", FII_DII_raw_synthetic_Jan_Jun2026[Sector], O$1)</f>
        <v>0</v>
      </c>
      <c r="P21" s="23">
        <f>SUMIFS(FII_DII_raw_synthetic_Jan_Jun2026[Net_Flow_Cr], FII_DII_raw_synthetic_Jan_Jun2026[Date], $A21, FII_DII_raw_synthetic_Jan_Jun2026[Entity_Type], "FII", FII_DII_raw_synthetic_Jan_Jun2026[Sector], P$1)</f>
        <v>0</v>
      </c>
      <c r="Q21" s="23" cm="1">
        <f t="array" ref="Q21">SUMPRODUCT(ABS(G21:P21))</f>
        <v>1613.1</v>
      </c>
      <c r="R21" s="23" cm="1">
        <f t="array" ref="R21">LARGE(ABS(G21:P21),1)+LARGE(ABS(G21:P21),2)</f>
        <v>1405.76</v>
      </c>
      <c r="S21" s="25">
        <f t="shared" si="1"/>
        <v>0.87146488128448329</v>
      </c>
      <c r="T21" s="23">
        <f>IFERROR(_xlfn.XLOOKUP(A21, 'Nifty 50 Historical Data'!A:A, 'Nifty 50 Historical Data'!G:G), "")</f>
        <v>0.66</v>
      </c>
      <c r="W21" t="str">
        <f t="shared" si="2"/>
        <v>Divergent Flow</v>
      </c>
      <c r="Y21">
        <f t="shared" si="3"/>
        <v>5</v>
      </c>
    </row>
    <row r="22" spans="1:25">
      <c r="A22" s="24">
        <v>46051</v>
      </c>
      <c r="B22" s="23">
        <f>SUMIFS(FII_DII_raw_synthetic_Jan_Jun2026[Net_Flow_Cr], FII_DII_raw_synthetic_Jan_Jun2026[Date], A22, FII_DII_raw_synthetic_Jan_Jun2026[Entity_Type], "FII")</f>
        <v>975.46</v>
      </c>
      <c r="C22" s="23">
        <f>SUMIFS(FII_DII_raw_synthetic_Jan_Jun2026[Net_Flow_Cr], FII_DII_raw_synthetic_Jan_Jun2026[Date], A22, FII_DII_raw_synthetic_Jan_Jun2026[Entity_Type], "DII")</f>
        <v>113.58999999999986</v>
      </c>
      <c r="D22" s="23">
        <f t="shared" ref="D22:E22" si="22">AVERAGE(B18:B22)</f>
        <v>197.37799999999999</v>
      </c>
      <c r="E22" s="23">
        <f t="shared" si="22"/>
        <v>-746.95800000000008</v>
      </c>
      <c r="F22" s="23">
        <f t="shared" si="0"/>
        <v>861.87000000000012</v>
      </c>
      <c r="G22" s="23">
        <f>SUMIFS(FII_DII_raw_synthetic_Jan_Jun2026[Net_Flow_Cr], FII_DII_raw_synthetic_Jan_Jun2026[Date], $A22, FII_DII_raw_synthetic_Jan_Jun2026[Entity_Type], "FII", FII_DII_raw_synthetic_Jan_Jun2026[Sector], G$1)</f>
        <v>495.34</v>
      </c>
      <c r="H22" s="23">
        <f>SUMIFS(FII_DII_raw_synthetic_Jan_Jun2026[Net_Flow_Cr], FII_DII_raw_synthetic_Jan_Jun2026[Date], $A22, FII_DII_raw_synthetic_Jan_Jun2026[Entity_Type], "FII", FII_DII_raw_synthetic_Jan_Jun2026[Sector], H$1)</f>
        <v>640.98</v>
      </c>
      <c r="I22" s="23">
        <f>SUMIFS(FII_DII_raw_synthetic_Jan_Jun2026[Net_Flow_Cr], FII_DII_raw_synthetic_Jan_Jun2026[Date], $A22, FII_DII_raw_synthetic_Jan_Jun2026[Entity_Type], "FII", FII_DII_raw_synthetic_Jan_Jun2026[Sector], I$1)</f>
        <v>-136.30000000000001</v>
      </c>
      <c r="J22" s="23">
        <f>SUMIFS(FII_DII_raw_synthetic_Jan_Jun2026[Net_Flow_Cr], FII_DII_raw_synthetic_Jan_Jun2026[Date], $A22, FII_DII_raw_synthetic_Jan_Jun2026[Entity_Type], "FII", FII_DII_raw_synthetic_Jan_Jun2026[Sector], J$1)</f>
        <v>-24.56</v>
      </c>
      <c r="K22" s="23">
        <f>SUMIFS(FII_DII_raw_synthetic_Jan_Jun2026[Net_Flow_Cr], FII_DII_raw_synthetic_Jan_Jun2026[Date], $A22, FII_DII_raw_synthetic_Jan_Jun2026[Entity_Type], "FII", FII_DII_raw_synthetic_Jan_Jun2026[Sector], K$1)</f>
        <v>0</v>
      </c>
      <c r="L22" s="23">
        <f>SUMIFS(FII_DII_raw_synthetic_Jan_Jun2026[Net_Flow_Cr], FII_DII_raw_synthetic_Jan_Jun2026[Date], $A22, FII_DII_raw_synthetic_Jan_Jun2026[Entity_Type], "FII", FII_DII_raw_synthetic_Jan_Jun2026[Sector], L$1)</f>
        <v>0</v>
      </c>
      <c r="M22" s="23">
        <f>SUMIFS(FII_DII_raw_synthetic_Jan_Jun2026[Net_Flow_Cr], FII_DII_raw_synthetic_Jan_Jun2026[Date], $A22, FII_DII_raw_synthetic_Jan_Jun2026[Entity_Type], "FII", FII_DII_raw_synthetic_Jan_Jun2026[Sector], M$1)</f>
        <v>0</v>
      </c>
      <c r="N22" s="23">
        <f>SUMIFS(FII_DII_raw_synthetic_Jan_Jun2026[Net_Flow_Cr], FII_DII_raw_synthetic_Jan_Jun2026[Date], $A22, FII_DII_raw_synthetic_Jan_Jun2026[Entity_Type], "FII", FII_DII_raw_synthetic_Jan_Jun2026[Sector], N$1)</f>
        <v>0</v>
      </c>
      <c r="O22" s="23">
        <f>SUMIFS(FII_DII_raw_synthetic_Jan_Jun2026[Net_Flow_Cr], FII_DII_raw_synthetic_Jan_Jun2026[Date], $A22, FII_DII_raw_synthetic_Jan_Jun2026[Entity_Type], "FII", FII_DII_raw_synthetic_Jan_Jun2026[Sector], O$1)</f>
        <v>0</v>
      </c>
      <c r="P22" s="23">
        <f>SUMIFS(FII_DII_raw_synthetic_Jan_Jun2026[Net_Flow_Cr], FII_DII_raw_synthetic_Jan_Jun2026[Date], $A22, FII_DII_raw_synthetic_Jan_Jun2026[Entity_Type], "FII", FII_DII_raw_synthetic_Jan_Jun2026[Sector], P$1)</f>
        <v>0</v>
      </c>
      <c r="Q22" s="23" cm="1">
        <f t="array" ref="Q22">SUMPRODUCT(ABS(G22:P22))</f>
        <v>1297.1799999999998</v>
      </c>
      <c r="R22" s="23" cm="1">
        <f t="array" ref="R22">LARGE(ABS(G22:P22),1)+LARGE(ABS(G22:P22),2)</f>
        <v>1136.32</v>
      </c>
      <c r="S22" s="25">
        <f t="shared" si="1"/>
        <v>0.8759925376586134</v>
      </c>
      <c r="T22" s="23">
        <f>IFERROR(_xlfn.XLOOKUP(A22, 'Nifty 50 Historical Data'!A:A, 'Nifty 50 Historical Data'!G:G), "")</f>
        <v>0.3</v>
      </c>
      <c r="W22" t="str">
        <f t="shared" si="2"/>
        <v>Aligned Flow</v>
      </c>
      <c r="Y22">
        <f t="shared" si="3"/>
        <v>5</v>
      </c>
    </row>
    <row r="23" spans="1:25">
      <c r="A23" s="24">
        <v>46052</v>
      </c>
      <c r="B23" s="23">
        <f>SUMIFS(FII_DII_raw_synthetic_Jan_Jun2026[Net_Flow_Cr], FII_DII_raw_synthetic_Jan_Jun2026[Date], A23, FII_DII_raw_synthetic_Jan_Jun2026[Entity_Type], "FII")</f>
        <v>1093.24</v>
      </c>
      <c r="C23" s="23">
        <f>SUMIFS(FII_DII_raw_synthetic_Jan_Jun2026[Net_Flow_Cr], FII_DII_raw_synthetic_Jan_Jun2026[Date], A23, FII_DII_raw_synthetic_Jan_Jun2026[Entity_Type], "DII")</f>
        <v>193.32000000000016</v>
      </c>
      <c r="D23" s="23">
        <f t="shared" ref="D23:E23" si="23">AVERAGE(B19:B23)</f>
        <v>720.37000000000012</v>
      </c>
      <c r="E23" s="23">
        <f t="shared" si="23"/>
        <v>-125.85400000000004</v>
      </c>
      <c r="F23" s="23">
        <f t="shared" si="0"/>
        <v>899.91999999999985</v>
      </c>
      <c r="G23" s="23">
        <f>SUMIFS(FII_DII_raw_synthetic_Jan_Jun2026[Net_Flow_Cr], FII_DII_raw_synthetic_Jan_Jun2026[Date], $A23, FII_DII_raw_synthetic_Jan_Jun2026[Entity_Type], "FII", FII_DII_raw_synthetic_Jan_Jun2026[Sector], G$1)</f>
        <v>0</v>
      </c>
      <c r="H23" s="23">
        <f>SUMIFS(FII_DII_raw_synthetic_Jan_Jun2026[Net_Flow_Cr], FII_DII_raw_synthetic_Jan_Jun2026[Date], $A23, FII_DII_raw_synthetic_Jan_Jun2026[Entity_Type], "FII", FII_DII_raw_synthetic_Jan_Jun2026[Sector], H$1)</f>
        <v>0</v>
      </c>
      <c r="I23" s="23">
        <f>SUMIFS(FII_DII_raw_synthetic_Jan_Jun2026[Net_Flow_Cr], FII_DII_raw_synthetic_Jan_Jun2026[Date], $A23, FII_DII_raw_synthetic_Jan_Jun2026[Entity_Type], "FII", FII_DII_raw_synthetic_Jan_Jun2026[Sector], I$1)</f>
        <v>0</v>
      </c>
      <c r="J23" s="23">
        <f>SUMIFS(FII_DII_raw_synthetic_Jan_Jun2026[Net_Flow_Cr], FII_DII_raw_synthetic_Jan_Jun2026[Date], $A23, FII_DII_raw_synthetic_Jan_Jun2026[Entity_Type], "FII", FII_DII_raw_synthetic_Jan_Jun2026[Sector], J$1)</f>
        <v>-98.38</v>
      </c>
      <c r="K23" s="23">
        <f>SUMIFS(FII_DII_raw_synthetic_Jan_Jun2026[Net_Flow_Cr], FII_DII_raw_synthetic_Jan_Jun2026[Date], $A23, FII_DII_raw_synthetic_Jan_Jun2026[Entity_Type], "FII", FII_DII_raw_synthetic_Jan_Jun2026[Sector], K$1)</f>
        <v>0</v>
      </c>
      <c r="L23" s="23">
        <f>SUMIFS(FII_DII_raw_synthetic_Jan_Jun2026[Net_Flow_Cr], FII_DII_raw_synthetic_Jan_Jun2026[Date], $A23, FII_DII_raw_synthetic_Jan_Jun2026[Entity_Type], "FII", FII_DII_raw_synthetic_Jan_Jun2026[Sector], L$1)</f>
        <v>-948.51</v>
      </c>
      <c r="M23" s="23">
        <f>SUMIFS(FII_DII_raw_synthetic_Jan_Jun2026[Net_Flow_Cr], FII_DII_raw_synthetic_Jan_Jun2026[Date], $A23, FII_DII_raw_synthetic_Jan_Jun2026[Entity_Type], "FII", FII_DII_raw_synthetic_Jan_Jun2026[Sector], M$1)</f>
        <v>823.64</v>
      </c>
      <c r="N23" s="23">
        <f>SUMIFS(FII_DII_raw_synthetic_Jan_Jun2026[Net_Flow_Cr], FII_DII_raw_synthetic_Jan_Jun2026[Date], $A23, FII_DII_raw_synthetic_Jan_Jun2026[Entity_Type], "FII", FII_DII_raw_synthetic_Jan_Jun2026[Sector], N$1)</f>
        <v>1316.49</v>
      </c>
      <c r="O23" s="23">
        <f>SUMIFS(FII_DII_raw_synthetic_Jan_Jun2026[Net_Flow_Cr], FII_DII_raw_synthetic_Jan_Jun2026[Date], $A23, FII_DII_raw_synthetic_Jan_Jun2026[Entity_Type], "FII", FII_DII_raw_synthetic_Jan_Jun2026[Sector], O$1)</f>
        <v>0</v>
      </c>
      <c r="P23" s="23">
        <f>SUMIFS(FII_DII_raw_synthetic_Jan_Jun2026[Net_Flow_Cr], FII_DII_raw_synthetic_Jan_Jun2026[Date], $A23, FII_DII_raw_synthetic_Jan_Jun2026[Entity_Type], "FII", FII_DII_raw_synthetic_Jan_Jun2026[Sector], P$1)</f>
        <v>0</v>
      </c>
      <c r="Q23" s="23" cm="1">
        <f t="array" ref="Q23">SUMPRODUCT(ABS(G23:P23))</f>
        <v>3187.0199999999995</v>
      </c>
      <c r="R23" s="23" cm="1">
        <f t="array" ref="R23">LARGE(ABS(G23:P23),1)+LARGE(ABS(G23:P23),2)</f>
        <v>2265</v>
      </c>
      <c r="S23" s="25">
        <f t="shared" si="1"/>
        <v>0.71069525763879748</v>
      </c>
      <c r="T23" s="23">
        <f>IFERROR(_xlfn.XLOOKUP(A23, 'Nifty 50 Historical Data'!A:A, 'Nifty 50 Historical Data'!G:G), "")</f>
        <v>-0.39</v>
      </c>
      <c r="W23" t="str">
        <f t="shared" si="2"/>
        <v>Aligned Flow</v>
      </c>
      <c r="Y23">
        <f t="shared" si="3"/>
        <v>5</v>
      </c>
    </row>
    <row r="24" spans="1:25">
      <c r="A24" s="24">
        <v>46054</v>
      </c>
      <c r="B24" s="23">
        <f>SUMIFS(FII_DII_raw_synthetic_Jan_Jun2026[Net_Flow_Cr], FII_DII_raw_synthetic_Jan_Jun2026[Date], A24, FII_DII_raw_synthetic_Jan_Jun2026[Entity_Type], "FII")</f>
        <v>0</v>
      </c>
      <c r="C24" s="23">
        <f>SUMIFS(FII_DII_raw_synthetic_Jan_Jun2026[Net_Flow_Cr], FII_DII_raw_synthetic_Jan_Jun2026[Date], A24, FII_DII_raw_synthetic_Jan_Jun2026[Entity_Type], "DII")</f>
        <v>-2036.44</v>
      </c>
      <c r="D24" s="23">
        <f t="shared" ref="D24:E24" si="24">AVERAGE(B20:B24)</f>
        <v>880.952</v>
      </c>
      <c r="E24" s="23">
        <f t="shared" si="24"/>
        <v>-674.09800000000007</v>
      </c>
      <c r="F24" s="23">
        <f t="shared" si="0"/>
        <v>-2036.44</v>
      </c>
      <c r="G24" s="23">
        <f>SUMIFS(FII_DII_raw_synthetic_Jan_Jun2026[Net_Flow_Cr], FII_DII_raw_synthetic_Jan_Jun2026[Date], $A24, FII_DII_raw_synthetic_Jan_Jun2026[Entity_Type], "FII", FII_DII_raw_synthetic_Jan_Jun2026[Sector], G$1)</f>
        <v>0</v>
      </c>
      <c r="H24" s="23">
        <f>SUMIFS(FII_DII_raw_synthetic_Jan_Jun2026[Net_Flow_Cr], FII_DII_raw_synthetic_Jan_Jun2026[Date], $A24, FII_DII_raw_synthetic_Jan_Jun2026[Entity_Type], "FII", FII_DII_raw_synthetic_Jan_Jun2026[Sector], H$1)</f>
        <v>0</v>
      </c>
      <c r="I24" s="23">
        <f>SUMIFS(FII_DII_raw_synthetic_Jan_Jun2026[Net_Flow_Cr], FII_DII_raw_synthetic_Jan_Jun2026[Date], $A24, FII_DII_raw_synthetic_Jan_Jun2026[Entity_Type], "FII", FII_DII_raw_synthetic_Jan_Jun2026[Sector], I$1)</f>
        <v>0</v>
      </c>
      <c r="J24" s="23">
        <f>SUMIFS(FII_DII_raw_synthetic_Jan_Jun2026[Net_Flow_Cr], FII_DII_raw_synthetic_Jan_Jun2026[Date], $A24, FII_DII_raw_synthetic_Jan_Jun2026[Entity_Type], "FII", FII_DII_raw_synthetic_Jan_Jun2026[Sector], J$1)</f>
        <v>0</v>
      </c>
      <c r="K24" s="23">
        <f>SUMIFS(FII_DII_raw_synthetic_Jan_Jun2026[Net_Flow_Cr], FII_DII_raw_synthetic_Jan_Jun2026[Date], $A24, FII_DII_raw_synthetic_Jan_Jun2026[Entity_Type], "FII", FII_DII_raw_synthetic_Jan_Jun2026[Sector], K$1)</f>
        <v>0</v>
      </c>
      <c r="L24" s="23">
        <f>SUMIFS(FII_DII_raw_synthetic_Jan_Jun2026[Net_Flow_Cr], FII_DII_raw_synthetic_Jan_Jun2026[Date], $A24, FII_DII_raw_synthetic_Jan_Jun2026[Entity_Type], "FII", FII_DII_raw_synthetic_Jan_Jun2026[Sector], L$1)</f>
        <v>0</v>
      </c>
      <c r="M24" s="23">
        <f>SUMIFS(FII_DII_raw_synthetic_Jan_Jun2026[Net_Flow_Cr], FII_DII_raw_synthetic_Jan_Jun2026[Date], $A24, FII_DII_raw_synthetic_Jan_Jun2026[Entity_Type], "FII", FII_DII_raw_synthetic_Jan_Jun2026[Sector], M$1)</f>
        <v>0</v>
      </c>
      <c r="N24" s="23">
        <f>SUMIFS(FII_DII_raw_synthetic_Jan_Jun2026[Net_Flow_Cr], FII_DII_raw_synthetic_Jan_Jun2026[Date], $A24, FII_DII_raw_synthetic_Jan_Jun2026[Entity_Type], "FII", FII_DII_raw_synthetic_Jan_Jun2026[Sector], N$1)</f>
        <v>0</v>
      </c>
      <c r="O24" s="23">
        <f>SUMIFS(FII_DII_raw_synthetic_Jan_Jun2026[Net_Flow_Cr], FII_DII_raw_synthetic_Jan_Jun2026[Date], $A24, FII_DII_raw_synthetic_Jan_Jun2026[Entity_Type], "FII", FII_DII_raw_synthetic_Jan_Jun2026[Sector], O$1)</f>
        <v>0</v>
      </c>
      <c r="P24" s="23">
        <f>SUMIFS(FII_DII_raw_synthetic_Jan_Jun2026[Net_Flow_Cr], FII_DII_raw_synthetic_Jan_Jun2026[Date], $A24, FII_DII_raw_synthetic_Jan_Jun2026[Entity_Type], "FII", FII_DII_raw_synthetic_Jan_Jun2026[Sector], P$1)</f>
        <v>0</v>
      </c>
      <c r="Q24" s="23" cm="1">
        <f t="array" ref="Q24">SUMPRODUCT(ABS(G24:P24))</f>
        <v>0</v>
      </c>
      <c r="R24" s="23" cm="1">
        <f t="array" ref="R24">LARGE(ABS(G24:P24),1)+LARGE(ABS(G24:P24),2)</f>
        <v>0</v>
      </c>
      <c r="S24" s="25">
        <f t="shared" si="1"/>
        <v>0</v>
      </c>
      <c r="T24" s="23">
        <f>IFERROR(_xlfn.XLOOKUP(A24, 'Nifty 50 Historical Data'!A:A, 'Nifty 50 Historical Data'!G:G), "")</f>
        <v>-1.96</v>
      </c>
      <c r="W24" t="str">
        <f t="shared" si="2"/>
        <v>Neutral</v>
      </c>
      <c r="Y24">
        <f t="shared" si="3"/>
        <v>5</v>
      </c>
    </row>
    <row r="25" spans="1:25">
      <c r="A25" s="24">
        <v>46055</v>
      </c>
      <c r="B25" s="23">
        <f>SUMIFS(FII_DII_raw_synthetic_Jan_Jun2026[Net_Flow_Cr], FII_DII_raw_synthetic_Jan_Jun2026[Date], A25, FII_DII_raw_synthetic_Jan_Jun2026[Entity_Type], "FII")</f>
        <v>287.40000000000009</v>
      </c>
      <c r="C25" s="23">
        <f>SUMIFS(FII_DII_raw_synthetic_Jan_Jun2026[Net_Flow_Cr], FII_DII_raw_synthetic_Jan_Jun2026[Date], A25, FII_DII_raw_synthetic_Jan_Jun2026[Entity_Type], "DII")</f>
        <v>1995.15</v>
      </c>
      <c r="D25" s="23">
        <f t="shared" ref="D25:E25" si="25">AVERAGE(B21:B25)</f>
        <v>793.84</v>
      </c>
      <c r="E25" s="23">
        <f t="shared" si="25"/>
        <v>-64.368000000000023</v>
      </c>
      <c r="F25" s="23">
        <f t="shared" si="0"/>
        <v>-1707.75</v>
      </c>
      <c r="G25" s="23">
        <f>SUMIFS(FII_DII_raw_synthetic_Jan_Jun2026[Net_Flow_Cr], FII_DII_raw_synthetic_Jan_Jun2026[Date], $A25, FII_DII_raw_synthetic_Jan_Jun2026[Entity_Type], "FII", FII_DII_raw_synthetic_Jan_Jun2026[Sector], G$1)</f>
        <v>0</v>
      </c>
      <c r="H25" s="23">
        <f>SUMIFS(FII_DII_raw_synthetic_Jan_Jun2026[Net_Flow_Cr], FII_DII_raw_synthetic_Jan_Jun2026[Date], $A25, FII_DII_raw_synthetic_Jan_Jun2026[Entity_Type], "FII", FII_DII_raw_synthetic_Jan_Jun2026[Sector], H$1)</f>
        <v>839.64</v>
      </c>
      <c r="I25" s="23">
        <f>SUMIFS(FII_DII_raw_synthetic_Jan_Jun2026[Net_Flow_Cr], FII_DII_raw_synthetic_Jan_Jun2026[Date], $A25, FII_DII_raw_synthetic_Jan_Jun2026[Entity_Type], "FII", FII_DII_raw_synthetic_Jan_Jun2026[Sector], I$1)</f>
        <v>-1028.4000000000001</v>
      </c>
      <c r="J25" s="23">
        <f>SUMIFS(FII_DII_raw_synthetic_Jan_Jun2026[Net_Flow_Cr], FII_DII_raw_synthetic_Jan_Jun2026[Date], $A25, FII_DII_raw_synthetic_Jan_Jun2026[Entity_Type], "FII", FII_DII_raw_synthetic_Jan_Jun2026[Sector], J$1)</f>
        <v>0</v>
      </c>
      <c r="K25" s="23">
        <f>SUMIFS(FII_DII_raw_synthetic_Jan_Jun2026[Net_Flow_Cr], FII_DII_raw_synthetic_Jan_Jun2026[Date], $A25, FII_DII_raw_synthetic_Jan_Jun2026[Entity_Type], "FII", FII_DII_raw_synthetic_Jan_Jun2026[Sector], K$1)</f>
        <v>609.8900000000001</v>
      </c>
      <c r="L25" s="23">
        <f>SUMIFS(FII_DII_raw_synthetic_Jan_Jun2026[Net_Flow_Cr], FII_DII_raw_synthetic_Jan_Jun2026[Date], $A25, FII_DII_raw_synthetic_Jan_Jun2026[Entity_Type], "FII", FII_DII_raw_synthetic_Jan_Jun2026[Sector], L$1)</f>
        <v>-133.72999999999999</v>
      </c>
      <c r="M25" s="23">
        <f>SUMIFS(FII_DII_raw_synthetic_Jan_Jun2026[Net_Flow_Cr], FII_DII_raw_synthetic_Jan_Jun2026[Date], $A25, FII_DII_raw_synthetic_Jan_Jun2026[Entity_Type], "FII", FII_DII_raw_synthetic_Jan_Jun2026[Sector], M$1)</f>
        <v>0</v>
      </c>
      <c r="N25" s="23">
        <f>SUMIFS(FII_DII_raw_synthetic_Jan_Jun2026[Net_Flow_Cr], FII_DII_raw_synthetic_Jan_Jun2026[Date], $A25, FII_DII_raw_synthetic_Jan_Jun2026[Entity_Type], "FII", FII_DII_raw_synthetic_Jan_Jun2026[Sector], N$1)</f>
        <v>0</v>
      </c>
      <c r="O25" s="23">
        <f>SUMIFS(FII_DII_raw_synthetic_Jan_Jun2026[Net_Flow_Cr], FII_DII_raw_synthetic_Jan_Jun2026[Date], $A25, FII_DII_raw_synthetic_Jan_Jun2026[Entity_Type], "FII", FII_DII_raw_synthetic_Jan_Jun2026[Sector], O$1)</f>
        <v>0</v>
      </c>
      <c r="P25" s="23">
        <f>SUMIFS(FII_DII_raw_synthetic_Jan_Jun2026[Net_Flow_Cr], FII_DII_raw_synthetic_Jan_Jun2026[Date], $A25, FII_DII_raw_synthetic_Jan_Jun2026[Entity_Type], "FII", FII_DII_raw_synthetic_Jan_Jun2026[Sector], P$1)</f>
        <v>0</v>
      </c>
      <c r="Q25" s="23" cm="1">
        <f t="array" ref="Q25">SUMPRODUCT(ABS(G25:P25))</f>
        <v>2611.6600000000003</v>
      </c>
      <c r="R25" s="23" cm="1">
        <f t="array" ref="R25">LARGE(ABS(G25:P25),1)+LARGE(ABS(G25:P25),2)</f>
        <v>1868.04</v>
      </c>
      <c r="S25" s="25">
        <f t="shared" si="1"/>
        <v>0.71526921574783842</v>
      </c>
      <c r="T25" s="23">
        <f>IFERROR(_xlfn.XLOOKUP(A25, 'Nifty 50 Historical Data'!A:A, 'Nifty 50 Historical Data'!G:G), "")</f>
        <v>1.06</v>
      </c>
      <c r="W25" t="str">
        <f t="shared" si="2"/>
        <v>Aligned Flow</v>
      </c>
      <c r="Y25">
        <f t="shared" si="3"/>
        <v>6</v>
      </c>
    </row>
    <row r="26" spans="1:25">
      <c r="A26" s="24">
        <v>46056</v>
      </c>
      <c r="B26" s="23">
        <f>SUMIFS(FII_DII_raw_synthetic_Jan_Jun2026[Net_Flow_Cr], FII_DII_raw_synthetic_Jan_Jun2026[Date], A26, FII_DII_raw_synthetic_Jan_Jun2026[Entity_Type], "FII")</f>
        <v>-880.88</v>
      </c>
      <c r="C26" s="23">
        <f>SUMIFS(FII_DII_raw_synthetic_Jan_Jun2026[Net_Flow_Cr], FII_DII_raw_synthetic_Jan_Jun2026[Date], A26, FII_DII_raw_synthetic_Jan_Jun2026[Entity_Type], "DII")</f>
        <v>1029.73</v>
      </c>
      <c r="D26" s="23">
        <f t="shared" ref="D26:E26" si="26">AVERAGE(B22:B26)</f>
        <v>295.04399999999998</v>
      </c>
      <c r="E26" s="23">
        <f t="shared" si="26"/>
        <v>259.07000000000005</v>
      </c>
      <c r="F26" s="23">
        <f t="shared" si="0"/>
        <v>-148.85000000000002</v>
      </c>
      <c r="G26" s="23">
        <f>SUMIFS(FII_DII_raw_synthetic_Jan_Jun2026[Net_Flow_Cr], FII_DII_raw_synthetic_Jan_Jun2026[Date], $A26, FII_DII_raw_synthetic_Jan_Jun2026[Entity_Type], "FII", FII_DII_raw_synthetic_Jan_Jun2026[Sector], G$1)</f>
        <v>-784.4</v>
      </c>
      <c r="H26" s="23">
        <f>SUMIFS(FII_DII_raw_synthetic_Jan_Jun2026[Net_Flow_Cr], FII_DII_raw_synthetic_Jan_Jun2026[Date], $A26, FII_DII_raw_synthetic_Jan_Jun2026[Entity_Type], "FII", FII_DII_raw_synthetic_Jan_Jun2026[Sector], H$1)</f>
        <v>0</v>
      </c>
      <c r="I26" s="23">
        <f>SUMIFS(FII_DII_raw_synthetic_Jan_Jun2026[Net_Flow_Cr], FII_DII_raw_synthetic_Jan_Jun2026[Date], $A26, FII_DII_raw_synthetic_Jan_Jun2026[Entity_Type], "FII", FII_DII_raw_synthetic_Jan_Jun2026[Sector], I$1)</f>
        <v>-160.78</v>
      </c>
      <c r="J26" s="23">
        <f>SUMIFS(FII_DII_raw_synthetic_Jan_Jun2026[Net_Flow_Cr], FII_DII_raw_synthetic_Jan_Jun2026[Date], $A26, FII_DII_raw_synthetic_Jan_Jun2026[Entity_Type], "FII", FII_DII_raw_synthetic_Jan_Jun2026[Sector], J$1)</f>
        <v>0</v>
      </c>
      <c r="K26" s="23">
        <f>SUMIFS(FII_DII_raw_synthetic_Jan_Jun2026[Net_Flow_Cr], FII_DII_raw_synthetic_Jan_Jun2026[Date], $A26, FII_DII_raw_synthetic_Jan_Jun2026[Entity_Type], "FII", FII_DII_raw_synthetic_Jan_Jun2026[Sector], K$1)</f>
        <v>-1111.3800000000001</v>
      </c>
      <c r="L26" s="23">
        <f>SUMIFS(FII_DII_raw_synthetic_Jan_Jun2026[Net_Flow_Cr], FII_DII_raw_synthetic_Jan_Jun2026[Date], $A26, FII_DII_raw_synthetic_Jan_Jun2026[Entity_Type], "FII", FII_DII_raw_synthetic_Jan_Jun2026[Sector], L$1)</f>
        <v>0</v>
      </c>
      <c r="M26" s="23">
        <f>SUMIFS(FII_DII_raw_synthetic_Jan_Jun2026[Net_Flow_Cr], FII_DII_raw_synthetic_Jan_Jun2026[Date], $A26, FII_DII_raw_synthetic_Jan_Jun2026[Entity_Type], "FII", FII_DII_raw_synthetic_Jan_Jun2026[Sector], M$1)</f>
        <v>0</v>
      </c>
      <c r="N26" s="23">
        <f>SUMIFS(FII_DII_raw_synthetic_Jan_Jun2026[Net_Flow_Cr], FII_DII_raw_synthetic_Jan_Jun2026[Date], $A26, FII_DII_raw_synthetic_Jan_Jun2026[Entity_Type], "FII", FII_DII_raw_synthetic_Jan_Jun2026[Sector], N$1)</f>
        <v>0</v>
      </c>
      <c r="O26" s="23">
        <f>SUMIFS(FII_DII_raw_synthetic_Jan_Jun2026[Net_Flow_Cr], FII_DII_raw_synthetic_Jan_Jun2026[Date], $A26, FII_DII_raw_synthetic_Jan_Jun2026[Entity_Type], "FII", FII_DII_raw_synthetic_Jan_Jun2026[Sector], O$1)</f>
        <v>1175.68</v>
      </c>
      <c r="P26" s="23">
        <f>SUMIFS(FII_DII_raw_synthetic_Jan_Jun2026[Net_Flow_Cr], FII_DII_raw_synthetic_Jan_Jun2026[Date], $A26, FII_DII_raw_synthetic_Jan_Jun2026[Entity_Type], "FII", FII_DII_raw_synthetic_Jan_Jun2026[Sector], P$1)</f>
        <v>0</v>
      </c>
      <c r="Q26" s="23" cm="1">
        <f t="array" ref="Q26">SUMPRODUCT(ABS(G26:P26))</f>
        <v>3232.24</v>
      </c>
      <c r="R26" s="23" cm="1">
        <f t="array" ref="R26">LARGE(ABS(G26:P26),1)+LARGE(ABS(G26:P26),2)</f>
        <v>2287.0600000000004</v>
      </c>
      <c r="S26" s="25">
        <f t="shared" si="1"/>
        <v>0.70757740761824639</v>
      </c>
      <c r="T26" s="23">
        <f>IFERROR(_xlfn.XLOOKUP(A26, 'Nifty 50 Historical Data'!A:A, 'Nifty 50 Historical Data'!G:G), "")</f>
        <v>2.5499999999999998</v>
      </c>
      <c r="W26" t="str">
        <f t="shared" si="2"/>
        <v>Divergent Flow</v>
      </c>
      <c r="Y26">
        <f t="shared" si="3"/>
        <v>6</v>
      </c>
    </row>
    <row r="27" spans="1:25">
      <c r="A27" s="24">
        <v>46057</v>
      </c>
      <c r="B27" s="23">
        <f>SUMIFS(FII_DII_raw_synthetic_Jan_Jun2026[Net_Flow_Cr], FII_DII_raw_synthetic_Jan_Jun2026[Date], A27, FII_DII_raw_synthetic_Jan_Jun2026[Entity_Type], "FII")</f>
        <v>-434.18000000000006</v>
      </c>
      <c r="C27" s="23">
        <f>SUMIFS(FII_DII_raw_synthetic_Jan_Jun2026[Net_Flow_Cr], FII_DII_raw_synthetic_Jan_Jun2026[Date], A27, FII_DII_raw_synthetic_Jan_Jun2026[Entity_Type], "DII")</f>
        <v>4713.66</v>
      </c>
      <c r="D27" s="23">
        <f t="shared" ref="D27:E27" si="27">AVERAGE(B23:B27)</f>
        <v>13.116000000000009</v>
      </c>
      <c r="E27" s="23">
        <f t="shared" si="27"/>
        <v>1179.0840000000001</v>
      </c>
      <c r="F27" s="23">
        <f t="shared" si="0"/>
        <v>-4279.4799999999996</v>
      </c>
      <c r="G27" s="23">
        <f>SUMIFS(FII_DII_raw_synthetic_Jan_Jun2026[Net_Flow_Cr], FII_DII_raw_synthetic_Jan_Jun2026[Date], $A27, FII_DII_raw_synthetic_Jan_Jun2026[Entity_Type], "FII", FII_DII_raw_synthetic_Jan_Jun2026[Sector], G$1)</f>
        <v>-481.78</v>
      </c>
      <c r="H27" s="23">
        <f>SUMIFS(FII_DII_raw_synthetic_Jan_Jun2026[Net_Flow_Cr], FII_DII_raw_synthetic_Jan_Jun2026[Date], $A27, FII_DII_raw_synthetic_Jan_Jun2026[Entity_Type], "FII", FII_DII_raw_synthetic_Jan_Jun2026[Sector], H$1)</f>
        <v>0</v>
      </c>
      <c r="I27" s="23">
        <f>SUMIFS(FII_DII_raw_synthetic_Jan_Jun2026[Net_Flow_Cr], FII_DII_raw_synthetic_Jan_Jun2026[Date], $A27, FII_DII_raw_synthetic_Jan_Jun2026[Entity_Type], "FII", FII_DII_raw_synthetic_Jan_Jun2026[Sector], I$1)</f>
        <v>0</v>
      </c>
      <c r="J27" s="23">
        <f>SUMIFS(FII_DII_raw_synthetic_Jan_Jun2026[Net_Flow_Cr], FII_DII_raw_synthetic_Jan_Jun2026[Date], $A27, FII_DII_raw_synthetic_Jan_Jun2026[Entity_Type], "FII", FII_DII_raw_synthetic_Jan_Jun2026[Sector], J$1)</f>
        <v>0</v>
      </c>
      <c r="K27" s="23">
        <f>SUMIFS(FII_DII_raw_synthetic_Jan_Jun2026[Net_Flow_Cr], FII_DII_raw_synthetic_Jan_Jun2026[Date], $A27, FII_DII_raw_synthetic_Jan_Jun2026[Entity_Type], "FII", FII_DII_raw_synthetic_Jan_Jun2026[Sector], K$1)</f>
        <v>0</v>
      </c>
      <c r="L27" s="23">
        <f>SUMIFS(FII_DII_raw_synthetic_Jan_Jun2026[Net_Flow_Cr], FII_DII_raw_synthetic_Jan_Jun2026[Date], $A27, FII_DII_raw_synthetic_Jan_Jun2026[Entity_Type], "FII", FII_DII_raw_synthetic_Jan_Jun2026[Sector], L$1)</f>
        <v>0</v>
      </c>
      <c r="M27" s="23">
        <f>SUMIFS(FII_DII_raw_synthetic_Jan_Jun2026[Net_Flow_Cr], FII_DII_raw_synthetic_Jan_Jun2026[Date], $A27, FII_DII_raw_synthetic_Jan_Jun2026[Entity_Type], "FII", FII_DII_raw_synthetic_Jan_Jun2026[Sector], M$1)</f>
        <v>0</v>
      </c>
      <c r="N27" s="23">
        <f>SUMIFS(FII_DII_raw_synthetic_Jan_Jun2026[Net_Flow_Cr], FII_DII_raw_synthetic_Jan_Jun2026[Date], $A27, FII_DII_raw_synthetic_Jan_Jun2026[Entity_Type], "FII", FII_DII_raw_synthetic_Jan_Jun2026[Sector], N$1)</f>
        <v>0</v>
      </c>
      <c r="O27" s="23">
        <f>SUMIFS(FII_DII_raw_synthetic_Jan_Jun2026[Net_Flow_Cr], FII_DII_raw_synthetic_Jan_Jun2026[Date], $A27, FII_DII_raw_synthetic_Jan_Jun2026[Entity_Type], "FII", FII_DII_raw_synthetic_Jan_Jun2026[Sector], O$1)</f>
        <v>-380.42</v>
      </c>
      <c r="P27" s="23">
        <f>SUMIFS(FII_DII_raw_synthetic_Jan_Jun2026[Net_Flow_Cr], FII_DII_raw_synthetic_Jan_Jun2026[Date], $A27, FII_DII_raw_synthetic_Jan_Jun2026[Entity_Type], "FII", FII_DII_raw_synthetic_Jan_Jun2026[Sector], P$1)</f>
        <v>428.02</v>
      </c>
      <c r="Q27" s="23" cm="1">
        <f t="array" ref="Q27">SUMPRODUCT(ABS(G27:P27))</f>
        <v>1290.22</v>
      </c>
      <c r="R27" s="23" cm="1">
        <f t="array" ref="R27">LARGE(ABS(G27:P27),1)+LARGE(ABS(G27:P27),2)</f>
        <v>909.8</v>
      </c>
      <c r="S27" s="25">
        <f t="shared" si="1"/>
        <v>0.70515105950923096</v>
      </c>
      <c r="T27" s="23">
        <f>IFERROR(_xlfn.XLOOKUP(A27, 'Nifty 50 Historical Data'!A:A, 'Nifty 50 Historical Data'!G:G), "")</f>
        <v>0.19</v>
      </c>
      <c r="W27" t="str">
        <f t="shared" si="2"/>
        <v>Divergent Flow</v>
      </c>
      <c r="Y27">
        <f t="shared" si="3"/>
        <v>6</v>
      </c>
    </row>
    <row r="28" spans="1:25">
      <c r="A28" s="24">
        <v>46058</v>
      </c>
      <c r="B28" s="23">
        <f>SUMIFS(FII_DII_raw_synthetic_Jan_Jun2026[Net_Flow_Cr], FII_DII_raw_synthetic_Jan_Jun2026[Date], A28, FII_DII_raw_synthetic_Jan_Jun2026[Entity_Type], "FII")</f>
        <v>-535.83000000000004</v>
      </c>
      <c r="C28" s="23">
        <f>SUMIFS(FII_DII_raw_synthetic_Jan_Jun2026[Net_Flow_Cr], FII_DII_raw_synthetic_Jan_Jun2026[Date], A28, FII_DII_raw_synthetic_Jan_Jun2026[Entity_Type], "DII")</f>
        <v>-55.55</v>
      </c>
      <c r="D28" s="23">
        <f t="shared" ref="D28:E28" si="28">AVERAGE(B24:B28)</f>
        <v>-312.69799999999998</v>
      </c>
      <c r="E28" s="23">
        <f t="shared" si="28"/>
        <v>1129.31</v>
      </c>
      <c r="F28" s="23">
        <f t="shared" si="0"/>
        <v>480.28000000000003</v>
      </c>
      <c r="G28" s="23">
        <f>SUMIFS(FII_DII_raw_synthetic_Jan_Jun2026[Net_Flow_Cr], FII_DII_raw_synthetic_Jan_Jun2026[Date], $A28, FII_DII_raw_synthetic_Jan_Jun2026[Entity_Type], "FII", FII_DII_raw_synthetic_Jan_Jun2026[Sector], G$1)</f>
        <v>0</v>
      </c>
      <c r="H28" s="23">
        <f>SUMIFS(FII_DII_raw_synthetic_Jan_Jun2026[Net_Flow_Cr], FII_DII_raw_synthetic_Jan_Jun2026[Date], $A28, FII_DII_raw_synthetic_Jan_Jun2026[Entity_Type], "FII", FII_DII_raw_synthetic_Jan_Jun2026[Sector], H$1)</f>
        <v>0</v>
      </c>
      <c r="I28" s="23">
        <f>SUMIFS(FII_DII_raw_synthetic_Jan_Jun2026[Net_Flow_Cr], FII_DII_raw_synthetic_Jan_Jun2026[Date], $A28, FII_DII_raw_synthetic_Jan_Jun2026[Entity_Type], "FII", FII_DII_raw_synthetic_Jan_Jun2026[Sector], I$1)</f>
        <v>0</v>
      </c>
      <c r="J28" s="23">
        <f>SUMIFS(FII_DII_raw_synthetic_Jan_Jun2026[Net_Flow_Cr], FII_DII_raw_synthetic_Jan_Jun2026[Date], $A28, FII_DII_raw_synthetic_Jan_Jun2026[Entity_Type], "FII", FII_DII_raw_synthetic_Jan_Jun2026[Sector], J$1)</f>
        <v>0</v>
      </c>
      <c r="K28" s="23">
        <f>SUMIFS(FII_DII_raw_synthetic_Jan_Jun2026[Net_Flow_Cr], FII_DII_raw_synthetic_Jan_Jun2026[Date], $A28, FII_DII_raw_synthetic_Jan_Jun2026[Entity_Type], "FII", FII_DII_raw_synthetic_Jan_Jun2026[Sector], K$1)</f>
        <v>0</v>
      </c>
      <c r="L28" s="23">
        <f>SUMIFS(FII_DII_raw_synthetic_Jan_Jun2026[Net_Flow_Cr], FII_DII_raw_synthetic_Jan_Jun2026[Date], $A28, FII_DII_raw_synthetic_Jan_Jun2026[Entity_Type], "FII", FII_DII_raw_synthetic_Jan_Jun2026[Sector], L$1)</f>
        <v>-1007.94</v>
      </c>
      <c r="M28" s="23">
        <f>SUMIFS(FII_DII_raw_synthetic_Jan_Jun2026[Net_Flow_Cr], FII_DII_raw_synthetic_Jan_Jun2026[Date], $A28, FII_DII_raw_synthetic_Jan_Jun2026[Entity_Type], "FII", FII_DII_raw_synthetic_Jan_Jun2026[Sector], M$1)</f>
        <v>472.11</v>
      </c>
      <c r="N28" s="23">
        <f>SUMIFS(FII_DII_raw_synthetic_Jan_Jun2026[Net_Flow_Cr], FII_DII_raw_synthetic_Jan_Jun2026[Date], $A28, FII_DII_raw_synthetic_Jan_Jun2026[Entity_Type], "FII", FII_DII_raw_synthetic_Jan_Jun2026[Sector], N$1)</f>
        <v>0</v>
      </c>
      <c r="O28" s="23">
        <f>SUMIFS(FII_DII_raw_synthetic_Jan_Jun2026[Net_Flow_Cr], FII_DII_raw_synthetic_Jan_Jun2026[Date], $A28, FII_DII_raw_synthetic_Jan_Jun2026[Entity_Type], "FII", FII_DII_raw_synthetic_Jan_Jun2026[Sector], O$1)</f>
        <v>0</v>
      </c>
      <c r="P28" s="23">
        <f>SUMIFS(FII_DII_raw_synthetic_Jan_Jun2026[Net_Flow_Cr], FII_DII_raw_synthetic_Jan_Jun2026[Date], $A28, FII_DII_raw_synthetic_Jan_Jun2026[Entity_Type], "FII", FII_DII_raw_synthetic_Jan_Jun2026[Sector], P$1)</f>
        <v>0</v>
      </c>
      <c r="Q28" s="23" cm="1">
        <f t="array" ref="Q28">SUMPRODUCT(ABS(G28:P28))</f>
        <v>1480.0500000000002</v>
      </c>
      <c r="R28" s="23" cm="1">
        <f t="array" ref="R28">LARGE(ABS(G28:P28),1)+LARGE(ABS(G28:P28),2)</f>
        <v>1480.0500000000002</v>
      </c>
      <c r="S28" s="25">
        <f t="shared" si="1"/>
        <v>1</v>
      </c>
      <c r="T28" s="23">
        <f>IFERROR(_xlfn.XLOOKUP(A28, 'Nifty 50 Historical Data'!A:A, 'Nifty 50 Historical Data'!G:G), "")</f>
        <v>-0.52</v>
      </c>
      <c r="W28" t="str">
        <f t="shared" si="2"/>
        <v>Aligned Flow</v>
      </c>
      <c r="Y28">
        <f t="shared" si="3"/>
        <v>6</v>
      </c>
    </row>
    <row r="29" spans="1:25">
      <c r="A29" s="24">
        <v>46059</v>
      </c>
      <c r="B29" s="23">
        <f>SUMIFS(FII_DII_raw_synthetic_Jan_Jun2026[Net_Flow_Cr], FII_DII_raw_synthetic_Jan_Jun2026[Date], A29, FII_DII_raw_synthetic_Jan_Jun2026[Entity_Type], "FII")</f>
        <v>-3718.5300000000007</v>
      </c>
      <c r="C29" s="23">
        <f>SUMIFS(FII_DII_raw_synthetic_Jan_Jun2026[Net_Flow_Cr], FII_DII_raw_synthetic_Jan_Jun2026[Date], A29, FII_DII_raw_synthetic_Jan_Jun2026[Entity_Type], "DII")</f>
        <v>-275.18</v>
      </c>
      <c r="D29" s="23">
        <f t="shared" ref="D29:E29" si="29">AVERAGE(B25:B29)</f>
        <v>-1056.404</v>
      </c>
      <c r="E29" s="23">
        <f t="shared" si="29"/>
        <v>1481.5619999999999</v>
      </c>
      <c r="F29" s="23">
        <f t="shared" si="0"/>
        <v>3443.3500000000008</v>
      </c>
      <c r="G29" s="23">
        <f>SUMIFS(FII_DII_raw_synthetic_Jan_Jun2026[Net_Flow_Cr], FII_DII_raw_synthetic_Jan_Jun2026[Date], $A29, FII_DII_raw_synthetic_Jan_Jun2026[Entity_Type], "FII", FII_DII_raw_synthetic_Jan_Jun2026[Sector], G$1)</f>
        <v>0</v>
      </c>
      <c r="H29" s="23">
        <f>SUMIFS(FII_DII_raw_synthetic_Jan_Jun2026[Net_Flow_Cr], FII_DII_raw_synthetic_Jan_Jun2026[Date], $A29, FII_DII_raw_synthetic_Jan_Jun2026[Entity_Type], "FII", FII_DII_raw_synthetic_Jan_Jun2026[Sector], H$1)</f>
        <v>0</v>
      </c>
      <c r="I29" s="23">
        <f>SUMIFS(FII_DII_raw_synthetic_Jan_Jun2026[Net_Flow_Cr], FII_DII_raw_synthetic_Jan_Jun2026[Date], $A29, FII_DII_raw_synthetic_Jan_Jun2026[Entity_Type], "FII", FII_DII_raw_synthetic_Jan_Jun2026[Sector], I$1)</f>
        <v>0</v>
      </c>
      <c r="J29" s="23">
        <f>SUMIFS(FII_DII_raw_synthetic_Jan_Jun2026[Net_Flow_Cr], FII_DII_raw_synthetic_Jan_Jun2026[Date], $A29, FII_DII_raw_synthetic_Jan_Jun2026[Entity_Type], "FII", FII_DII_raw_synthetic_Jan_Jun2026[Sector], J$1)</f>
        <v>157.44999999999999</v>
      </c>
      <c r="K29" s="23">
        <f>SUMIFS(FII_DII_raw_synthetic_Jan_Jun2026[Net_Flow_Cr], FII_DII_raw_synthetic_Jan_Jun2026[Date], $A29, FII_DII_raw_synthetic_Jan_Jun2026[Entity_Type], "FII", FII_DII_raw_synthetic_Jan_Jun2026[Sector], K$1)</f>
        <v>-1634.8</v>
      </c>
      <c r="L29" s="23">
        <f>SUMIFS(FII_DII_raw_synthetic_Jan_Jun2026[Net_Flow_Cr], FII_DII_raw_synthetic_Jan_Jun2026[Date], $A29, FII_DII_raw_synthetic_Jan_Jun2026[Entity_Type], "FII", FII_DII_raw_synthetic_Jan_Jun2026[Sector], L$1)</f>
        <v>0</v>
      </c>
      <c r="M29" s="23">
        <f>SUMIFS(FII_DII_raw_synthetic_Jan_Jun2026[Net_Flow_Cr], FII_DII_raw_synthetic_Jan_Jun2026[Date], $A29, FII_DII_raw_synthetic_Jan_Jun2026[Entity_Type], "FII", FII_DII_raw_synthetic_Jan_Jun2026[Sector], M$1)</f>
        <v>0</v>
      </c>
      <c r="N29" s="23">
        <f>SUMIFS(FII_DII_raw_synthetic_Jan_Jun2026[Net_Flow_Cr], FII_DII_raw_synthetic_Jan_Jun2026[Date], $A29, FII_DII_raw_synthetic_Jan_Jun2026[Entity_Type], "FII", FII_DII_raw_synthetic_Jan_Jun2026[Sector], N$1)</f>
        <v>-1204.77</v>
      </c>
      <c r="O29" s="23">
        <f>SUMIFS(FII_DII_raw_synthetic_Jan_Jun2026[Net_Flow_Cr], FII_DII_raw_synthetic_Jan_Jun2026[Date], $A29, FII_DII_raw_synthetic_Jan_Jun2026[Entity_Type], "FII", FII_DII_raw_synthetic_Jan_Jun2026[Sector], O$1)</f>
        <v>-1036.4100000000001</v>
      </c>
      <c r="P29" s="23">
        <f>SUMIFS(FII_DII_raw_synthetic_Jan_Jun2026[Net_Flow_Cr], FII_DII_raw_synthetic_Jan_Jun2026[Date], $A29, FII_DII_raw_synthetic_Jan_Jun2026[Entity_Type], "FII", FII_DII_raw_synthetic_Jan_Jun2026[Sector], P$1)</f>
        <v>0</v>
      </c>
      <c r="Q29" s="23" cm="1">
        <f t="array" ref="Q29">SUMPRODUCT(ABS(G29:P29))</f>
        <v>4033.4300000000003</v>
      </c>
      <c r="R29" s="23" cm="1">
        <f t="array" ref="R29">LARGE(ABS(G29:P29),1)+LARGE(ABS(G29:P29),2)</f>
        <v>2839.5699999999997</v>
      </c>
      <c r="S29" s="25">
        <f t="shared" si="1"/>
        <v>0.70400874689780146</v>
      </c>
      <c r="T29" s="23">
        <f>IFERROR(_xlfn.XLOOKUP(A29, 'Nifty 50 Historical Data'!A:A, 'Nifty 50 Historical Data'!G:G), "")</f>
        <v>0.2</v>
      </c>
      <c r="W29" t="str">
        <f t="shared" si="2"/>
        <v>Strong FII Selling</v>
      </c>
      <c r="Y29">
        <f t="shared" si="3"/>
        <v>6</v>
      </c>
    </row>
    <row r="30" spans="1:25">
      <c r="A30" s="24">
        <v>46062</v>
      </c>
      <c r="B30" s="23">
        <f>SUMIFS(FII_DII_raw_synthetic_Jan_Jun2026[Net_Flow_Cr], FII_DII_raw_synthetic_Jan_Jun2026[Date], A30, FII_DII_raw_synthetic_Jan_Jun2026[Entity_Type], "FII")</f>
        <v>707.17</v>
      </c>
      <c r="C30" s="23">
        <f>SUMIFS(FII_DII_raw_synthetic_Jan_Jun2026[Net_Flow_Cr], FII_DII_raw_synthetic_Jan_Jun2026[Date], A30, FII_DII_raw_synthetic_Jan_Jun2026[Entity_Type], "DII")</f>
        <v>2037.52</v>
      </c>
      <c r="D30" s="23">
        <f t="shared" ref="D30:E30" si="30">AVERAGE(B26:B30)</f>
        <v>-972.45</v>
      </c>
      <c r="E30" s="23">
        <f t="shared" si="30"/>
        <v>1490.0359999999996</v>
      </c>
      <c r="F30" s="23">
        <f t="shared" si="0"/>
        <v>-1330.35</v>
      </c>
      <c r="G30" s="23">
        <f>SUMIFS(FII_DII_raw_synthetic_Jan_Jun2026[Net_Flow_Cr], FII_DII_raw_synthetic_Jan_Jun2026[Date], $A30, FII_DII_raw_synthetic_Jan_Jun2026[Entity_Type], "FII", FII_DII_raw_synthetic_Jan_Jun2026[Sector], G$1)</f>
        <v>-483.29</v>
      </c>
      <c r="H30" s="23">
        <f>SUMIFS(FII_DII_raw_synthetic_Jan_Jun2026[Net_Flow_Cr], FII_DII_raw_synthetic_Jan_Jun2026[Date], $A30, FII_DII_raw_synthetic_Jan_Jun2026[Entity_Type], "FII", FII_DII_raw_synthetic_Jan_Jun2026[Sector], H$1)</f>
        <v>0</v>
      </c>
      <c r="I30" s="23">
        <f>SUMIFS(FII_DII_raw_synthetic_Jan_Jun2026[Net_Flow_Cr], FII_DII_raw_synthetic_Jan_Jun2026[Date], $A30, FII_DII_raw_synthetic_Jan_Jun2026[Entity_Type], "FII", FII_DII_raw_synthetic_Jan_Jun2026[Sector], I$1)</f>
        <v>-338.4</v>
      </c>
      <c r="J30" s="23">
        <f>SUMIFS(FII_DII_raw_synthetic_Jan_Jun2026[Net_Flow_Cr], FII_DII_raw_synthetic_Jan_Jun2026[Date], $A30, FII_DII_raw_synthetic_Jan_Jun2026[Entity_Type], "FII", FII_DII_raw_synthetic_Jan_Jun2026[Sector], J$1)</f>
        <v>0</v>
      </c>
      <c r="K30" s="23">
        <f>SUMIFS(FII_DII_raw_synthetic_Jan_Jun2026[Net_Flow_Cr], FII_DII_raw_synthetic_Jan_Jun2026[Date], $A30, FII_DII_raw_synthetic_Jan_Jun2026[Entity_Type], "FII", FII_DII_raw_synthetic_Jan_Jun2026[Sector], K$1)</f>
        <v>0</v>
      </c>
      <c r="L30" s="23">
        <f>SUMIFS(FII_DII_raw_synthetic_Jan_Jun2026[Net_Flow_Cr], FII_DII_raw_synthetic_Jan_Jun2026[Date], $A30, FII_DII_raw_synthetic_Jan_Jun2026[Entity_Type], "FII", FII_DII_raw_synthetic_Jan_Jun2026[Sector], L$1)</f>
        <v>0</v>
      </c>
      <c r="M30" s="23">
        <f>SUMIFS(FII_DII_raw_synthetic_Jan_Jun2026[Net_Flow_Cr], FII_DII_raw_synthetic_Jan_Jun2026[Date], $A30, FII_DII_raw_synthetic_Jan_Jun2026[Entity_Type], "FII", FII_DII_raw_synthetic_Jan_Jun2026[Sector], M$1)</f>
        <v>0</v>
      </c>
      <c r="N30" s="23">
        <f>SUMIFS(FII_DII_raw_synthetic_Jan_Jun2026[Net_Flow_Cr], FII_DII_raw_synthetic_Jan_Jun2026[Date], $A30, FII_DII_raw_synthetic_Jan_Jun2026[Entity_Type], "FII", FII_DII_raw_synthetic_Jan_Jun2026[Sector], N$1)</f>
        <v>645.45000000000005</v>
      </c>
      <c r="O30" s="23">
        <f>SUMIFS(FII_DII_raw_synthetic_Jan_Jun2026[Net_Flow_Cr], FII_DII_raw_synthetic_Jan_Jun2026[Date], $A30, FII_DII_raw_synthetic_Jan_Jun2026[Entity_Type], "FII", FII_DII_raw_synthetic_Jan_Jun2026[Sector], O$1)</f>
        <v>883.41</v>
      </c>
      <c r="P30" s="23">
        <f>SUMIFS(FII_DII_raw_synthetic_Jan_Jun2026[Net_Flow_Cr], FII_DII_raw_synthetic_Jan_Jun2026[Date], $A30, FII_DII_raw_synthetic_Jan_Jun2026[Entity_Type], "FII", FII_DII_raw_synthetic_Jan_Jun2026[Sector], P$1)</f>
        <v>0</v>
      </c>
      <c r="Q30" s="23" cm="1">
        <f t="array" ref="Q30">SUMPRODUCT(ABS(G30:P30))</f>
        <v>2350.5500000000002</v>
      </c>
      <c r="R30" s="23" cm="1">
        <f t="array" ref="R30">LARGE(ABS(G30:P30),1)+LARGE(ABS(G30:P30),2)</f>
        <v>1528.8600000000001</v>
      </c>
      <c r="S30" s="25">
        <f t="shared" si="1"/>
        <v>0.65042649592648527</v>
      </c>
      <c r="T30" s="23">
        <f>IFERROR(_xlfn.XLOOKUP(A30, 'Nifty 50 Historical Data'!A:A, 'Nifty 50 Historical Data'!G:G), "")</f>
        <v>0.68</v>
      </c>
      <c r="W30" t="str">
        <f t="shared" si="2"/>
        <v>Aligned Flow</v>
      </c>
      <c r="Y30">
        <f t="shared" si="3"/>
        <v>7</v>
      </c>
    </row>
    <row r="31" spans="1:25">
      <c r="A31" s="24">
        <v>46063</v>
      </c>
      <c r="B31" s="23">
        <f>SUMIFS(FII_DII_raw_synthetic_Jan_Jun2026[Net_Flow_Cr], FII_DII_raw_synthetic_Jan_Jun2026[Date], A31, FII_DII_raw_synthetic_Jan_Jun2026[Entity_Type], "FII")</f>
        <v>-871.08</v>
      </c>
      <c r="C31" s="23">
        <f>SUMIFS(FII_DII_raw_synthetic_Jan_Jun2026[Net_Flow_Cr], FII_DII_raw_synthetic_Jan_Jun2026[Date], A31, FII_DII_raw_synthetic_Jan_Jun2026[Entity_Type], "DII")</f>
        <v>1950.44</v>
      </c>
      <c r="D31" s="23">
        <f t="shared" ref="D31:E31" si="31">AVERAGE(B27:B31)</f>
        <v>-970.49000000000012</v>
      </c>
      <c r="E31" s="23">
        <f t="shared" si="31"/>
        <v>1674.1779999999999</v>
      </c>
      <c r="F31" s="23">
        <f t="shared" si="0"/>
        <v>-1079.3600000000001</v>
      </c>
      <c r="G31" s="23">
        <f>SUMIFS(FII_DII_raw_synthetic_Jan_Jun2026[Net_Flow_Cr], FII_DII_raw_synthetic_Jan_Jun2026[Date], $A31, FII_DII_raw_synthetic_Jan_Jun2026[Entity_Type], "FII", FII_DII_raw_synthetic_Jan_Jun2026[Sector], G$1)</f>
        <v>-463.97</v>
      </c>
      <c r="H31" s="23">
        <f>SUMIFS(FII_DII_raw_synthetic_Jan_Jun2026[Net_Flow_Cr], FII_DII_raw_synthetic_Jan_Jun2026[Date], $A31, FII_DII_raw_synthetic_Jan_Jun2026[Entity_Type], "FII", FII_DII_raw_synthetic_Jan_Jun2026[Sector], H$1)</f>
        <v>0</v>
      </c>
      <c r="I31" s="23">
        <f>SUMIFS(FII_DII_raw_synthetic_Jan_Jun2026[Net_Flow_Cr], FII_DII_raw_synthetic_Jan_Jun2026[Date], $A31, FII_DII_raw_synthetic_Jan_Jun2026[Entity_Type], "FII", FII_DII_raw_synthetic_Jan_Jun2026[Sector], I$1)</f>
        <v>0</v>
      </c>
      <c r="J31" s="23">
        <f>SUMIFS(FII_DII_raw_synthetic_Jan_Jun2026[Net_Flow_Cr], FII_DII_raw_synthetic_Jan_Jun2026[Date], $A31, FII_DII_raw_synthetic_Jan_Jun2026[Entity_Type], "FII", FII_DII_raw_synthetic_Jan_Jun2026[Sector], J$1)</f>
        <v>0</v>
      </c>
      <c r="K31" s="23">
        <f>SUMIFS(FII_DII_raw_synthetic_Jan_Jun2026[Net_Flow_Cr], FII_DII_raw_synthetic_Jan_Jun2026[Date], $A31, FII_DII_raw_synthetic_Jan_Jun2026[Entity_Type], "FII", FII_DII_raw_synthetic_Jan_Jun2026[Sector], K$1)</f>
        <v>-492.79</v>
      </c>
      <c r="L31" s="23">
        <f>SUMIFS(FII_DII_raw_synthetic_Jan_Jun2026[Net_Flow_Cr], FII_DII_raw_synthetic_Jan_Jun2026[Date], $A31, FII_DII_raw_synthetic_Jan_Jun2026[Entity_Type], "FII", FII_DII_raw_synthetic_Jan_Jun2026[Sector], L$1)</f>
        <v>149.71</v>
      </c>
      <c r="M31" s="23">
        <f>SUMIFS(FII_DII_raw_synthetic_Jan_Jun2026[Net_Flow_Cr], FII_DII_raw_synthetic_Jan_Jun2026[Date], $A31, FII_DII_raw_synthetic_Jan_Jun2026[Entity_Type], "FII", FII_DII_raw_synthetic_Jan_Jun2026[Sector], M$1)</f>
        <v>-64.03</v>
      </c>
      <c r="N31" s="23">
        <f>SUMIFS(FII_DII_raw_synthetic_Jan_Jun2026[Net_Flow_Cr], FII_DII_raw_synthetic_Jan_Jun2026[Date], $A31, FII_DII_raw_synthetic_Jan_Jun2026[Entity_Type], "FII", FII_DII_raw_synthetic_Jan_Jun2026[Sector], N$1)</f>
        <v>0</v>
      </c>
      <c r="O31" s="23">
        <f>SUMIFS(FII_DII_raw_synthetic_Jan_Jun2026[Net_Flow_Cr], FII_DII_raw_synthetic_Jan_Jun2026[Date], $A31, FII_DII_raw_synthetic_Jan_Jun2026[Entity_Type], "FII", FII_DII_raw_synthetic_Jan_Jun2026[Sector], O$1)</f>
        <v>0</v>
      </c>
      <c r="P31" s="23">
        <f>SUMIFS(FII_DII_raw_synthetic_Jan_Jun2026[Net_Flow_Cr], FII_DII_raw_synthetic_Jan_Jun2026[Date], $A31, FII_DII_raw_synthetic_Jan_Jun2026[Entity_Type], "FII", FII_DII_raw_synthetic_Jan_Jun2026[Sector], P$1)</f>
        <v>0</v>
      </c>
      <c r="Q31" s="23" cm="1">
        <f t="array" ref="Q31">SUMPRODUCT(ABS(G31:P31))</f>
        <v>1170.5</v>
      </c>
      <c r="R31" s="23" cm="1">
        <f t="array" ref="R31">LARGE(ABS(G31:P31),1)+LARGE(ABS(G31:P31),2)</f>
        <v>956.76</v>
      </c>
      <c r="S31" s="25">
        <f t="shared" si="1"/>
        <v>0.81739427595044856</v>
      </c>
      <c r="T31" s="23">
        <f>IFERROR(_xlfn.XLOOKUP(A31, 'Nifty 50 Historical Data'!A:A, 'Nifty 50 Historical Data'!G:G), "")</f>
        <v>0.26</v>
      </c>
      <c r="W31" t="str">
        <f t="shared" si="2"/>
        <v>Divergent Flow</v>
      </c>
      <c r="Y31">
        <f t="shared" si="3"/>
        <v>7</v>
      </c>
    </row>
    <row r="32" spans="1:25">
      <c r="A32" s="24">
        <v>46064</v>
      </c>
      <c r="B32" s="23">
        <f>SUMIFS(FII_DII_raw_synthetic_Jan_Jun2026[Net_Flow_Cr], FII_DII_raw_synthetic_Jan_Jun2026[Date], A32, FII_DII_raw_synthetic_Jan_Jun2026[Entity_Type], "FII")</f>
        <v>-1084.28</v>
      </c>
      <c r="C32" s="23">
        <f>SUMIFS(FII_DII_raw_synthetic_Jan_Jun2026[Net_Flow_Cr], FII_DII_raw_synthetic_Jan_Jun2026[Date], A32, FII_DII_raw_synthetic_Jan_Jun2026[Entity_Type], "DII")</f>
        <v>1160.45</v>
      </c>
      <c r="D32" s="23">
        <f t="shared" ref="D32:E32" si="32">AVERAGE(B28:B32)</f>
        <v>-1100.51</v>
      </c>
      <c r="E32" s="23">
        <f t="shared" si="32"/>
        <v>963.53600000000006</v>
      </c>
      <c r="F32" s="23">
        <f t="shared" si="0"/>
        <v>-76.170000000000073</v>
      </c>
      <c r="G32" s="23">
        <f>SUMIFS(FII_DII_raw_synthetic_Jan_Jun2026[Net_Flow_Cr], FII_DII_raw_synthetic_Jan_Jun2026[Date], $A32, FII_DII_raw_synthetic_Jan_Jun2026[Entity_Type], "FII", FII_DII_raw_synthetic_Jan_Jun2026[Sector], G$1)</f>
        <v>0</v>
      </c>
      <c r="H32" s="23">
        <f>SUMIFS(FII_DII_raw_synthetic_Jan_Jun2026[Net_Flow_Cr], FII_DII_raw_synthetic_Jan_Jun2026[Date], $A32, FII_DII_raw_synthetic_Jan_Jun2026[Entity_Type], "FII", FII_DII_raw_synthetic_Jan_Jun2026[Sector], H$1)</f>
        <v>0</v>
      </c>
      <c r="I32" s="23">
        <f>SUMIFS(FII_DII_raw_synthetic_Jan_Jun2026[Net_Flow_Cr], FII_DII_raw_synthetic_Jan_Jun2026[Date], $A32, FII_DII_raw_synthetic_Jan_Jun2026[Entity_Type], "FII", FII_DII_raw_synthetic_Jan_Jun2026[Sector], I$1)</f>
        <v>-1823.86</v>
      </c>
      <c r="J32" s="23">
        <f>SUMIFS(FII_DII_raw_synthetic_Jan_Jun2026[Net_Flow_Cr], FII_DII_raw_synthetic_Jan_Jun2026[Date], $A32, FII_DII_raw_synthetic_Jan_Jun2026[Entity_Type], "FII", FII_DII_raw_synthetic_Jan_Jun2026[Sector], J$1)</f>
        <v>214.57</v>
      </c>
      <c r="K32" s="23">
        <f>SUMIFS(FII_DII_raw_synthetic_Jan_Jun2026[Net_Flow_Cr], FII_DII_raw_synthetic_Jan_Jun2026[Date], $A32, FII_DII_raw_synthetic_Jan_Jun2026[Entity_Type], "FII", FII_DII_raw_synthetic_Jan_Jun2026[Sector], K$1)</f>
        <v>0</v>
      </c>
      <c r="L32" s="23">
        <f>SUMIFS(FII_DII_raw_synthetic_Jan_Jun2026[Net_Flow_Cr], FII_DII_raw_synthetic_Jan_Jun2026[Date], $A32, FII_DII_raw_synthetic_Jan_Jun2026[Entity_Type], "FII", FII_DII_raw_synthetic_Jan_Jun2026[Sector], L$1)</f>
        <v>0</v>
      </c>
      <c r="M32" s="23">
        <f>SUMIFS(FII_DII_raw_synthetic_Jan_Jun2026[Net_Flow_Cr], FII_DII_raw_synthetic_Jan_Jun2026[Date], $A32, FII_DII_raw_synthetic_Jan_Jun2026[Entity_Type], "FII", FII_DII_raw_synthetic_Jan_Jun2026[Sector], M$1)</f>
        <v>525.01</v>
      </c>
      <c r="N32" s="23">
        <f>SUMIFS(FII_DII_raw_synthetic_Jan_Jun2026[Net_Flow_Cr], FII_DII_raw_synthetic_Jan_Jun2026[Date], $A32, FII_DII_raw_synthetic_Jan_Jun2026[Entity_Type], "FII", FII_DII_raw_synthetic_Jan_Jun2026[Sector], N$1)</f>
        <v>0</v>
      </c>
      <c r="O32" s="23">
        <f>SUMIFS(FII_DII_raw_synthetic_Jan_Jun2026[Net_Flow_Cr], FII_DII_raw_synthetic_Jan_Jun2026[Date], $A32, FII_DII_raw_synthetic_Jan_Jun2026[Entity_Type], "FII", FII_DII_raw_synthetic_Jan_Jun2026[Sector], O$1)</f>
        <v>0</v>
      </c>
      <c r="P32" s="23">
        <f>SUMIFS(FII_DII_raw_synthetic_Jan_Jun2026[Net_Flow_Cr], FII_DII_raw_synthetic_Jan_Jun2026[Date], $A32, FII_DII_raw_synthetic_Jan_Jun2026[Entity_Type], "FII", FII_DII_raw_synthetic_Jan_Jun2026[Sector], P$1)</f>
        <v>0</v>
      </c>
      <c r="Q32" s="23" cm="1">
        <f t="array" ref="Q32">SUMPRODUCT(ABS(G32:P32))</f>
        <v>2563.4399999999996</v>
      </c>
      <c r="R32" s="23" cm="1">
        <f t="array" ref="R32">LARGE(ABS(G32:P32),1)+LARGE(ABS(G32:P32),2)</f>
        <v>2348.87</v>
      </c>
      <c r="S32" s="25">
        <f t="shared" si="1"/>
        <v>0.91629607090472187</v>
      </c>
      <c r="T32" s="23">
        <f>IFERROR(_xlfn.XLOOKUP(A32, 'Nifty 50 Historical Data'!A:A, 'Nifty 50 Historical Data'!G:G), "")</f>
        <v>7.0000000000000007E-2</v>
      </c>
      <c r="W32" t="str">
        <f t="shared" si="2"/>
        <v>Divergent Flow</v>
      </c>
      <c r="Y32">
        <f t="shared" si="3"/>
        <v>7</v>
      </c>
    </row>
    <row r="33" spans="1:25">
      <c r="A33" s="24">
        <v>46065</v>
      </c>
      <c r="B33" s="23">
        <f>SUMIFS(FII_DII_raw_synthetic_Jan_Jun2026[Net_Flow_Cr], FII_DII_raw_synthetic_Jan_Jun2026[Date], A33, FII_DII_raw_synthetic_Jan_Jun2026[Entity_Type], "FII")</f>
        <v>4387.25</v>
      </c>
      <c r="C33" s="23">
        <f>SUMIFS(FII_DII_raw_synthetic_Jan_Jun2026[Net_Flow_Cr], FII_DII_raw_synthetic_Jan_Jun2026[Date], A33, FII_DII_raw_synthetic_Jan_Jun2026[Entity_Type], "DII")</f>
        <v>-210.40999999999997</v>
      </c>
      <c r="D33" s="23">
        <f t="shared" ref="D33:E33" si="33">AVERAGE(B29:B33)</f>
        <v>-115.89400000000005</v>
      </c>
      <c r="E33" s="23">
        <f t="shared" si="33"/>
        <v>932.56399999999996</v>
      </c>
      <c r="F33" s="23">
        <f t="shared" si="0"/>
        <v>4176.84</v>
      </c>
      <c r="G33" s="23">
        <f>SUMIFS(FII_DII_raw_synthetic_Jan_Jun2026[Net_Flow_Cr], FII_DII_raw_synthetic_Jan_Jun2026[Date], $A33, FII_DII_raw_synthetic_Jan_Jun2026[Entity_Type], "FII", FII_DII_raw_synthetic_Jan_Jun2026[Sector], G$1)</f>
        <v>327.38</v>
      </c>
      <c r="H33" s="23">
        <f>SUMIFS(FII_DII_raw_synthetic_Jan_Jun2026[Net_Flow_Cr], FII_DII_raw_synthetic_Jan_Jun2026[Date], $A33, FII_DII_raw_synthetic_Jan_Jun2026[Entity_Type], "FII", FII_DII_raw_synthetic_Jan_Jun2026[Sector], H$1)</f>
        <v>1042.22</v>
      </c>
      <c r="I33" s="23">
        <f>SUMIFS(FII_DII_raw_synthetic_Jan_Jun2026[Net_Flow_Cr], FII_DII_raw_synthetic_Jan_Jun2026[Date], $A33, FII_DII_raw_synthetic_Jan_Jun2026[Entity_Type], "FII", FII_DII_raw_synthetic_Jan_Jun2026[Sector], I$1)</f>
        <v>0</v>
      </c>
      <c r="J33" s="23">
        <f>SUMIFS(FII_DII_raw_synthetic_Jan_Jun2026[Net_Flow_Cr], FII_DII_raw_synthetic_Jan_Jun2026[Date], $A33, FII_DII_raw_synthetic_Jan_Jun2026[Entity_Type], "FII", FII_DII_raw_synthetic_Jan_Jun2026[Sector], J$1)</f>
        <v>0</v>
      </c>
      <c r="K33" s="23">
        <f>SUMIFS(FII_DII_raw_synthetic_Jan_Jun2026[Net_Flow_Cr], FII_DII_raw_synthetic_Jan_Jun2026[Date], $A33, FII_DII_raw_synthetic_Jan_Jun2026[Entity_Type], "FII", FII_DII_raw_synthetic_Jan_Jun2026[Sector], K$1)</f>
        <v>0</v>
      </c>
      <c r="L33" s="23">
        <f>SUMIFS(FII_DII_raw_synthetic_Jan_Jun2026[Net_Flow_Cr], FII_DII_raw_synthetic_Jan_Jun2026[Date], $A33, FII_DII_raw_synthetic_Jan_Jun2026[Entity_Type], "FII", FII_DII_raw_synthetic_Jan_Jun2026[Sector], L$1)</f>
        <v>0</v>
      </c>
      <c r="M33" s="23">
        <f>SUMIFS(FII_DII_raw_synthetic_Jan_Jun2026[Net_Flow_Cr], FII_DII_raw_synthetic_Jan_Jun2026[Date], $A33, FII_DII_raw_synthetic_Jan_Jun2026[Entity_Type], "FII", FII_DII_raw_synthetic_Jan_Jun2026[Sector], M$1)</f>
        <v>0</v>
      </c>
      <c r="N33" s="23">
        <f>SUMIFS(FII_DII_raw_synthetic_Jan_Jun2026[Net_Flow_Cr], FII_DII_raw_synthetic_Jan_Jun2026[Date], $A33, FII_DII_raw_synthetic_Jan_Jun2026[Entity_Type], "FII", FII_DII_raw_synthetic_Jan_Jun2026[Sector], N$1)</f>
        <v>1764.79</v>
      </c>
      <c r="O33" s="23">
        <f>SUMIFS(FII_DII_raw_synthetic_Jan_Jun2026[Net_Flow_Cr], FII_DII_raw_synthetic_Jan_Jun2026[Date], $A33, FII_DII_raw_synthetic_Jan_Jun2026[Entity_Type], "FII", FII_DII_raw_synthetic_Jan_Jun2026[Sector], O$1)</f>
        <v>1252.8599999999999</v>
      </c>
      <c r="P33" s="23">
        <f>SUMIFS(FII_DII_raw_synthetic_Jan_Jun2026[Net_Flow_Cr], FII_DII_raw_synthetic_Jan_Jun2026[Date], $A33, FII_DII_raw_synthetic_Jan_Jun2026[Entity_Type], "FII", FII_DII_raw_synthetic_Jan_Jun2026[Sector], P$1)</f>
        <v>0</v>
      </c>
      <c r="Q33" s="23" cm="1">
        <f t="array" ref="Q33">SUMPRODUCT(ABS(G33:P33))</f>
        <v>4387.25</v>
      </c>
      <c r="R33" s="23" cm="1">
        <f t="array" ref="R33">LARGE(ABS(G33:P33),1)+LARGE(ABS(G33:P33),2)</f>
        <v>3017.6499999999996</v>
      </c>
      <c r="S33" s="25">
        <f t="shared" si="1"/>
        <v>0.68782266795828817</v>
      </c>
      <c r="T33" s="23">
        <f>IFERROR(_xlfn.XLOOKUP(A33, 'Nifty 50 Historical Data'!A:A, 'Nifty 50 Historical Data'!G:G), "")</f>
        <v>-0.56999999999999995</v>
      </c>
      <c r="W33" t="str">
        <f t="shared" si="2"/>
        <v>Strong FII Buying</v>
      </c>
      <c r="Y33">
        <f t="shared" si="3"/>
        <v>7</v>
      </c>
    </row>
    <row r="34" spans="1:25">
      <c r="A34" s="24">
        <v>46066</v>
      </c>
      <c r="B34" s="23">
        <f>SUMIFS(FII_DII_raw_synthetic_Jan_Jun2026[Net_Flow_Cr], FII_DII_raw_synthetic_Jan_Jun2026[Date], A34, FII_DII_raw_synthetic_Jan_Jun2026[Entity_Type], "FII")</f>
        <v>-3033.88</v>
      </c>
      <c r="C34" s="23">
        <f>SUMIFS(FII_DII_raw_synthetic_Jan_Jun2026[Net_Flow_Cr], FII_DII_raw_synthetic_Jan_Jun2026[Date], A34, FII_DII_raw_synthetic_Jan_Jun2026[Entity_Type], "DII")</f>
        <v>846.59999999999991</v>
      </c>
      <c r="D34" s="23">
        <f t="shared" ref="D34:E34" si="34">AVERAGE(B30:B34)</f>
        <v>21.035999999999966</v>
      </c>
      <c r="E34" s="23">
        <f t="shared" si="34"/>
        <v>1156.92</v>
      </c>
      <c r="F34" s="23">
        <f t="shared" si="0"/>
        <v>2187.2800000000002</v>
      </c>
      <c r="G34" s="23">
        <f>SUMIFS(FII_DII_raw_synthetic_Jan_Jun2026[Net_Flow_Cr], FII_DII_raw_synthetic_Jan_Jun2026[Date], $A34, FII_DII_raw_synthetic_Jan_Jun2026[Entity_Type], "FII", FII_DII_raw_synthetic_Jan_Jun2026[Sector], G$1)</f>
        <v>-332.6</v>
      </c>
      <c r="H34" s="23">
        <f>SUMIFS(FII_DII_raw_synthetic_Jan_Jun2026[Net_Flow_Cr], FII_DII_raw_synthetic_Jan_Jun2026[Date], $A34, FII_DII_raw_synthetic_Jan_Jun2026[Entity_Type], "FII", FII_DII_raw_synthetic_Jan_Jun2026[Sector], H$1)</f>
        <v>0</v>
      </c>
      <c r="I34" s="23">
        <f>SUMIFS(FII_DII_raw_synthetic_Jan_Jun2026[Net_Flow_Cr], FII_DII_raw_synthetic_Jan_Jun2026[Date], $A34, FII_DII_raw_synthetic_Jan_Jun2026[Entity_Type], "FII", FII_DII_raw_synthetic_Jan_Jun2026[Sector], I$1)</f>
        <v>-1182.6199999999999</v>
      </c>
      <c r="J34" s="23">
        <f>SUMIFS(FII_DII_raw_synthetic_Jan_Jun2026[Net_Flow_Cr], FII_DII_raw_synthetic_Jan_Jun2026[Date], $A34, FII_DII_raw_synthetic_Jan_Jun2026[Entity_Type], "FII", FII_DII_raw_synthetic_Jan_Jun2026[Sector], J$1)</f>
        <v>0</v>
      </c>
      <c r="K34" s="23">
        <f>SUMIFS(FII_DII_raw_synthetic_Jan_Jun2026[Net_Flow_Cr], FII_DII_raw_synthetic_Jan_Jun2026[Date], $A34, FII_DII_raw_synthetic_Jan_Jun2026[Entity_Type], "FII", FII_DII_raw_synthetic_Jan_Jun2026[Sector], K$1)</f>
        <v>-438.94</v>
      </c>
      <c r="L34" s="23">
        <f>SUMIFS(FII_DII_raw_synthetic_Jan_Jun2026[Net_Flow_Cr], FII_DII_raw_synthetic_Jan_Jun2026[Date], $A34, FII_DII_raw_synthetic_Jan_Jun2026[Entity_Type], "FII", FII_DII_raw_synthetic_Jan_Jun2026[Sector], L$1)</f>
        <v>-1079.72</v>
      </c>
      <c r="M34" s="23">
        <f>SUMIFS(FII_DII_raw_synthetic_Jan_Jun2026[Net_Flow_Cr], FII_DII_raw_synthetic_Jan_Jun2026[Date], $A34, FII_DII_raw_synthetic_Jan_Jun2026[Entity_Type], "FII", FII_DII_raw_synthetic_Jan_Jun2026[Sector], M$1)</f>
        <v>0</v>
      </c>
      <c r="N34" s="23">
        <f>SUMIFS(FII_DII_raw_synthetic_Jan_Jun2026[Net_Flow_Cr], FII_DII_raw_synthetic_Jan_Jun2026[Date], $A34, FII_DII_raw_synthetic_Jan_Jun2026[Entity_Type], "FII", FII_DII_raw_synthetic_Jan_Jun2026[Sector], N$1)</f>
        <v>0</v>
      </c>
      <c r="O34" s="23">
        <f>SUMIFS(FII_DII_raw_synthetic_Jan_Jun2026[Net_Flow_Cr], FII_DII_raw_synthetic_Jan_Jun2026[Date], $A34, FII_DII_raw_synthetic_Jan_Jun2026[Entity_Type], "FII", FII_DII_raw_synthetic_Jan_Jun2026[Sector], O$1)</f>
        <v>0</v>
      </c>
      <c r="P34" s="23">
        <f>SUMIFS(FII_DII_raw_synthetic_Jan_Jun2026[Net_Flow_Cr], FII_DII_raw_synthetic_Jan_Jun2026[Date], $A34, FII_DII_raw_synthetic_Jan_Jun2026[Entity_Type], "FII", FII_DII_raw_synthetic_Jan_Jun2026[Sector], P$1)</f>
        <v>0</v>
      </c>
      <c r="Q34" s="23" cm="1">
        <f t="array" ref="Q34">SUMPRODUCT(ABS(G34:P34))</f>
        <v>3033.88</v>
      </c>
      <c r="R34" s="23" cm="1">
        <f t="array" ref="R34">LARGE(ABS(G34:P34),1)+LARGE(ABS(G34:P34),2)</f>
        <v>2262.34</v>
      </c>
      <c r="S34" s="25">
        <f t="shared" si="1"/>
        <v>0.74569198518069268</v>
      </c>
      <c r="T34" s="23">
        <f>IFERROR(_xlfn.XLOOKUP(A34, 'Nifty 50 Historical Data'!A:A, 'Nifty 50 Historical Data'!G:G), "")</f>
        <v>-1.3</v>
      </c>
      <c r="W34" t="str">
        <f t="shared" si="2"/>
        <v>Strong FII Selling</v>
      </c>
      <c r="Y34">
        <f t="shared" si="3"/>
        <v>7</v>
      </c>
    </row>
    <row r="35" spans="1:25">
      <c r="A35" s="24">
        <v>46069</v>
      </c>
      <c r="B35" s="23">
        <f>SUMIFS(FII_DII_raw_synthetic_Jan_Jun2026[Net_Flow_Cr], FII_DII_raw_synthetic_Jan_Jun2026[Date], A35, FII_DII_raw_synthetic_Jan_Jun2026[Entity_Type], "FII")</f>
        <v>927.28</v>
      </c>
      <c r="C35" s="23">
        <f>SUMIFS(FII_DII_raw_synthetic_Jan_Jun2026[Net_Flow_Cr], FII_DII_raw_synthetic_Jan_Jun2026[Date], A35, FII_DII_raw_synthetic_Jan_Jun2026[Entity_Type], "DII")</f>
        <v>-1609.9700000000003</v>
      </c>
      <c r="D35" s="23">
        <f t="shared" ref="D35:E35" si="35">AVERAGE(B31:B35)</f>
        <v>65.05799999999995</v>
      </c>
      <c r="E35" s="23">
        <f t="shared" si="35"/>
        <v>427.42200000000003</v>
      </c>
      <c r="F35" s="23">
        <f t="shared" si="0"/>
        <v>-682.69000000000028</v>
      </c>
      <c r="G35" s="23">
        <f>SUMIFS(FII_DII_raw_synthetic_Jan_Jun2026[Net_Flow_Cr], FII_DII_raw_synthetic_Jan_Jun2026[Date], $A35, FII_DII_raw_synthetic_Jan_Jun2026[Entity_Type], "FII", FII_DII_raw_synthetic_Jan_Jun2026[Sector], G$1)</f>
        <v>-803.95</v>
      </c>
      <c r="H35" s="23">
        <f>SUMIFS(FII_DII_raw_synthetic_Jan_Jun2026[Net_Flow_Cr], FII_DII_raw_synthetic_Jan_Jun2026[Date], $A35, FII_DII_raw_synthetic_Jan_Jun2026[Entity_Type], "FII", FII_DII_raw_synthetic_Jan_Jun2026[Sector], H$1)</f>
        <v>0</v>
      </c>
      <c r="I35" s="23">
        <f>SUMIFS(FII_DII_raw_synthetic_Jan_Jun2026[Net_Flow_Cr], FII_DII_raw_synthetic_Jan_Jun2026[Date], $A35, FII_DII_raw_synthetic_Jan_Jun2026[Entity_Type], "FII", FII_DII_raw_synthetic_Jan_Jun2026[Sector], I$1)</f>
        <v>0</v>
      </c>
      <c r="J35" s="23">
        <f>SUMIFS(FII_DII_raw_synthetic_Jan_Jun2026[Net_Flow_Cr], FII_DII_raw_synthetic_Jan_Jun2026[Date], $A35, FII_DII_raw_synthetic_Jan_Jun2026[Entity_Type], "FII", FII_DII_raw_synthetic_Jan_Jun2026[Sector], J$1)</f>
        <v>906.52</v>
      </c>
      <c r="K35" s="23">
        <f>SUMIFS(FII_DII_raw_synthetic_Jan_Jun2026[Net_Flow_Cr], FII_DII_raw_synthetic_Jan_Jun2026[Date], $A35, FII_DII_raw_synthetic_Jan_Jun2026[Entity_Type], "FII", FII_DII_raw_synthetic_Jan_Jun2026[Sector], K$1)</f>
        <v>0</v>
      </c>
      <c r="L35" s="23">
        <f>SUMIFS(FII_DII_raw_synthetic_Jan_Jun2026[Net_Flow_Cr], FII_DII_raw_synthetic_Jan_Jun2026[Date], $A35, FII_DII_raw_synthetic_Jan_Jun2026[Entity_Type], "FII", FII_DII_raw_synthetic_Jan_Jun2026[Sector], L$1)</f>
        <v>-22.66</v>
      </c>
      <c r="M35" s="23">
        <f>SUMIFS(FII_DII_raw_synthetic_Jan_Jun2026[Net_Flow_Cr], FII_DII_raw_synthetic_Jan_Jun2026[Date], $A35, FII_DII_raw_synthetic_Jan_Jun2026[Entity_Type], "FII", FII_DII_raw_synthetic_Jan_Jun2026[Sector], M$1)</f>
        <v>847.37</v>
      </c>
      <c r="N35" s="23">
        <f>SUMIFS(FII_DII_raw_synthetic_Jan_Jun2026[Net_Flow_Cr], FII_DII_raw_synthetic_Jan_Jun2026[Date], $A35, FII_DII_raw_synthetic_Jan_Jun2026[Entity_Type], "FII", FII_DII_raw_synthetic_Jan_Jun2026[Sector], N$1)</f>
        <v>0</v>
      </c>
      <c r="O35" s="23">
        <f>SUMIFS(FII_DII_raw_synthetic_Jan_Jun2026[Net_Flow_Cr], FII_DII_raw_synthetic_Jan_Jun2026[Date], $A35, FII_DII_raw_synthetic_Jan_Jun2026[Entity_Type], "FII", FII_DII_raw_synthetic_Jan_Jun2026[Sector], O$1)</f>
        <v>0</v>
      </c>
      <c r="P35" s="23">
        <f>SUMIFS(FII_DII_raw_synthetic_Jan_Jun2026[Net_Flow_Cr], FII_DII_raw_synthetic_Jan_Jun2026[Date], $A35, FII_DII_raw_synthetic_Jan_Jun2026[Entity_Type], "FII", FII_DII_raw_synthetic_Jan_Jun2026[Sector], P$1)</f>
        <v>0</v>
      </c>
      <c r="Q35" s="23" cm="1">
        <f t="array" ref="Q35">SUMPRODUCT(ABS(G35:P35))</f>
        <v>2580.5</v>
      </c>
      <c r="R35" s="23" cm="1">
        <f t="array" ref="R35">LARGE(ABS(G35:P35),1)+LARGE(ABS(G35:P35),2)</f>
        <v>1753.8899999999999</v>
      </c>
      <c r="S35" s="25">
        <f t="shared" si="1"/>
        <v>0.67967060647161393</v>
      </c>
      <c r="T35" s="23">
        <f>IFERROR(_xlfn.XLOOKUP(A35, 'Nifty 50 Historical Data'!A:A, 'Nifty 50 Historical Data'!G:G), "")</f>
        <v>0.83</v>
      </c>
      <c r="W35" t="str">
        <f t="shared" si="2"/>
        <v>Divergent Flow</v>
      </c>
      <c r="Y35">
        <f t="shared" si="3"/>
        <v>8</v>
      </c>
    </row>
    <row r="36" spans="1:25">
      <c r="A36" s="24">
        <v>46070</v>
      </c>
      <c r="B36" s="23">
        <f>SUMIFS(FII_DII_raw_synthetic_Jan_Jun2026[Net_Flow_Cr], FII_DII_raw_synthetic_Jan_Jun2026[Date], A36, FII_DII_raw_synthetic_Jan_Jun2026[Entity_Type], "FII")</f>
        <v>2225.5100000000002</v>
      </c>
      <c r="C36" s="23">
        <f>SUMIFS(FII_DII_raw_synthetic_Jan_Jun2026[Net_Flow_Cr], FII_DII_raw_synthetic_Jan_Jun2026[Date], A36, FII_DII_raw_synthetic_Jan_Jun2026[Entity_Type], "DII")</f>
        <v>1401.0100000000002</v>
      </c>
      <c r="D36" s="23">
        <f t="shared" ref="D36:E36" si="36">AVERAGE(B32:B36)</f>
        <v>684.37599999999998</v>
      </c>
      <c r="E36" s="23">
        <f t="shared" si="36"/>
        <v>317.53599999999994</v>
      </c>
      <c r="F36" s="23">
        <f t="shared" si="0"/>
        <v>824.5</v>
      </c>
      <c r="G36" s="23">
        <f>SUMIFS(FII_DII_raw_synthetic_Jan_Jun2026[Net_Flow_Cr], FII_DII_raw_synthetic_Jan_Jun2026[Date], $A36, FII_DII_raw_synthetic_Jan_Jun2026[Entity_Type], "FII", FII_DII_raw_synthetic_Jan_Jun2026[Sector], G$1)</f>
        <v>0</v>
      </c>
      <c r="H36" s="23">
        <f>SUMIFS(FII_DII_raw_synthetic_Jan_Jun2026[Net_Flow_Cr], FII_DII_raw_synthetic_Jan_Jun2026[Date], $A36, FII_DII_raw_synthetic_Jan_Jun2026[Entity_Type], "FII", FII_DII_raw_synthetic_Jan_Jun2026[Sector], H$1)</f>
        <v>0</v>
      </c>
      <c r="I36" s="23">
        <f>SUMIFS(FII_DII_raw_synthetic_Jan_Jun2026[Net_Flow_Cr], FII_DII_raw_synthetic_Jan_Jun2026[Date], $A36, FII_DII_raw_synthetic_Jan_Jun2026[Entity_Type], "FII", FII_DII_raw_synthetic_Jan_Jun2026[Sector], I$1)</f>
        <v>0</v>
      </c>
      <c r="J36" s="23">
        <f>SUMIFS(FII_DII_raw_synthetic_Jan_Jun2026[Net_Flow_Cr], FII_DII_raw_synthetic_Jan_Jun2026[Date], $A36, FII_DII_raw_synthetic_Jan_Jun2026[Entity_Type], "FII", FII_DII_raw_synthetic_Jan_Jun2026[Sector], J$1)</f>
        <v>1505.9</v>
      </c>
      <c r="K36" s="23">
        <f>SUMIFS(FII_DII_raw_synthetic_Jan_Jun2026[Net_Flow_Cr], FII_DII_raw_synthetic_Jan_Jun2026[Date], $A36, FII_DII_raw_synthetic_Jan_Jun2026[Entity_Type], "FII", FII_DII_raw_synthetic_Jan_Jun2026[Sector], K$1)</f>
        <v>0</v>
      </c>
      <c r="L36" s="23">
        <f>SUMIFS(FII_DII_raw_synthetic_Jan_Jun2026[Net_Flow_Cr], FII_DII_raw_synthetic_Jan_Jun2026[Date], $A36, FII_DII_raw_synthetic_Jan_Jun2026[Entity_Type], "FII", FII_DII_raw_synthetic_Jan_Jun2026[Sector], L$1)</f>
        <v>0</v>
      </c>
      <c r="M36" s="23">
        <f>SUMIFS(FII_DII_raw_synthetic_Jan_Jun2026[Net_Flow_Cr], FII_DII_raw_synthetic_Jan_Jun2026[Date], $A36, FII_DII_raw_synthetic_Jan_Jun2026[Entity_Type], "FII", FII_DII_raw_synthetic_Jan_Jun2026[Sector], M$1)</f>
        <v>0</v>
      </c>
      <c r="N36" s="23">
        <f>SUMIFS(FII_DII_raw_synthetic_Jan_Jun2026[Net_Flow_Cr], FII_DII_raw_synthetic_Jan_Jun2026[Date], $A36, FII_DII_raw_synthetic_Jan_Jun2026[Entity_Type], "FII", FII_DII_raw_synthetic_Jan_Jun2026[Sector], N$1)</f>
        <v>-101.38</v>
      </c>
      <c r="O36" s="23">
        <f>SUMIFS(FII_DII_raw_synthetic_Jan_Jun2026[Net_Flow_Cr], FII_DII_raw_synthetic_Jan_Jun2026[Date], $A36, FII_DII_raw_synthetic_Jan_Jun2026[Entity_Type], "FII", FII_DII_raw_synthetic_Jan_Jun2026[Sector], O$1)</f>
        <v>820.99</v>
      </c>
      <c r="P36" s="23">
        <f>SUMIFS(FII_DII_raw_synthetic_Jan_Jun2026[Net_Flow_Cr], FII_DII_raw_synthetic_Jan_Jun2026[Date], $A36, FII_DII_raw_synthetic_Jan_Jun2026[Entity_Type], "FII", FII_DII_raw_synthetic_Jan_Jun2026[Sector], P$1)</f>
        <v>0</v>
      </c>
      <c r="Q36" s="23" cm="1">
        <f t="array" ref="Q36">SUMPRODUCT(ABS(G36:P36))</f>
        <v>2428.2700000000004</v>
      </c>
      <c r="R36" s="23" cm="1">
        <f t="array" ref="R36">LARGE(ABS(G36:P36),1)+LARGE(ABS(G36:P36),2)</f>
        <v>2326.8900000000003</v>
      </c>
      <c r="S36" s="25">
        <f t="shared" si="1"/>
        <v>0.95825011221981082</v>
      </c>
      <c r="T36" s="23">
        <f>IFERROR(_xlfn.XLOOKUP(A36, 'Nifty 50 Historical Data'!A:A, 'Nifty 50 Historical Data'!G:G), "")</f>
        <v>0.17</v>
      </c>
      <c r="W36" t="str">
        <f t="shared" si="2"/>
        <v>Strong FII Buying</v>
      </c>
      <c r="Y36">
        <f t="shared" si="3"/>
        <v>8</v>
      </c>
    </row>
    <row r="37" spans="1:25">
      <c r="A37" s="24">
        <v>46071</v>
      </c>
      <c r="B37" s="23">
        <f>SUMIFS(FII_DII_raw_synthetic_Jan_Jun2026[Net_Flow_Cr], FII_DII_raw_synthetic_Jan_Jun2026[Date], A37, FII_DII_raw_synthetic_Jan_Jun2026[Entity_Type], "FII")</f>
        <v>-3043.95</v>
      </c>
      <c r="C37" s="23">
        <f>SUMIFS(FII_DII_raw_synthetic_Jan_Jun2026[Net_Flow_Cr], FII_DII_raw_synthetic_Jan_Jun2026[Date], A37, FII_DII_raw_synthetic_Jan_Jun2026[Entity_Type], "DII")</f>
        <v>-924.85</v>
      </c>
      <c r="D37" s="23">
        <f t="shared" ref="D37:E37" si="37">AVERAGE(B33:B37)</f>
        <v>292.44200000000001</v>
      </c>
      <c r="E37" s="23">
        <f t="shared" si="37"/>
        <v>-99.524000000000029</v>
      </c>
      <c r="F37" s="23">
        <f t="shared" si="0"/>
        <v>2119.1</v>
      </c>
      <c r="G37" s="23">
        <f>SUMIFS(FII_DII_raw_synthetic_Jan_Jun2026[Net_Flow_Cr], FII_DII_raw_synthetic_Jan_Jun2026[Date], $A37, FII_DII_raw_synthetic_Jan_Jun2026[Entity_Type], "FII", FII_DII_raw_synthetic_Jan_Jun2026[Sector], G$1)</f>
        <v>0</v>
      </c>
      <c r="H37" s="23">
        <f>SUMIFS(FII_DII_raw_synthetic_Jan_Jun2026[Net_Flow_Cr], FII_DII_raw_synthetic_Jan_Jun2026[Date], $A37, FII_DII_raw_synthetic_Jan_Jun2026[Entity_Type], "FII", FII_DII_raw_synthetic_Jan_Jun2026[Sector], H$1)</f>
        <v>0</v>
      </c>
      <c r="I37" s="23">
        <f>SUMIFS(FII_DII_raw_synthetic_Jan_Jun2026[Net_Flow_Cr], FII_DII_raw_synthetic_Jan_Jun2026[Date], $A37, FII_DII_raw_synthetic_Jan_Jun2026[Entity_Type], "FII", FII_DII_raw_synthetic_Jan_Jun2026[Sector], I$1)</f>
        <v>0</v>
      </c>
      <c r="J37" s="23">
        <f>SUMIFS(FII_DII_raw_synthetic_Jan_Jun2026[Net_Flow_Cr], FII_DII_raw_synthetic_Jan_Jun2026[Date], $A37, FII_DII_raw_synthetic_Jan_Jun2026[Entity_Type], "FII", FII_DII_raw_synthetic_Jan_Jun2026[Sector], J$1)</f>
        <v>0</v>
      </c>
      <c r="K37" s="23">
        <f>SUMIFS(FII_DII_raw_synthetic_Jan_Jun2026[Net_Flow_Cr], FII_DII_raw_synthetic_Jan_Jun2026[Date], $A37, FII_DII_raw_synthetic_Jan_Jun2026[Entity_Type], "FII", FII_DII_raw_synthetic_Jan_Jun2026[Sector], K$1)</f>
        <v>-1346.08</v>
      </c>
      <c r="L37" s="23">
        <f>SUMIFS(FII_DII_raw_synthetic_Jan_Jun2026[Net_Flow_Cr], FII_DII_raw_synthetic_Jan_Jun2026[Date], $A37, FII_DII_raw_synthetic_Jan_Jun2026[Entity_Type], "FII", FII_DII_raw_synthetic_Jan_Jun2026[Sector], L$1)</f>
        <v>81.97</v>
      </c>
      <c r="M37" s="23">
        <f>SUMIFS(FII_DII_raw_synthetic_Jan_Jun2026[Net_Flow_Cr], FII_DII_raw_synthetic_Jan_Jun2026[Date], $A37, FII_DII_raw_synthetic_Jan_Jun2026[Entity_Type], "FII", FII_DII_raw_synthetic_Jan_Jun2026[Sector], M$1)</f>
        <v>0</v>
      </c>
      <c r="N37" s="23">
        <f>SUMIFS(FII_DII_raw_synthetic_Jan_Jun2026[Net_Flow_Cr], FII_DII_raw_synthetic_Jan_Jun2026[Date], $A37, FII_DII_raw_synthetic_Jan_Jun2026[Entity_Type], "FII", FII_DII_raw_synthetic_Jan_Jun2026[Sector], N$1)</f>
        <v>0</v>
      </c>
      <c r="O37" s="23">
        <f>SUMIFS(FII_DII_raw_synthetic_Jan_Jun2026[Net_Flow_Cr], FII_DII_raw_synthetic_Jan_Jun2026[Date], $A37, FII_DII_raw_synthetic_Jan_Jun2026[Entity_Type], "FII", FII_DII_raw_synthetic_Jan_Jun2026[Sector], O$1)</f>
        <v>-1779.84</v>
      </c>
      <c r="P37" s="23">
        <f>SUMIFS(FII_DII_raw_synthetic_Jan_Jun2026[Net_Flow_Cr], FII_DII_raw_synthetic_Jan_Jun2026[Date], $A37, FII_DII_raw_synthetic_Jan_Jun2026[Entity_Type], "FII", FII_DII_raw_synthetic_Jan_Jun2026[Sector], P$1)</f>
        <v>0</v>
      </c>
      <c r="Q37" s="23" cm="1">
        <f t="array" ref="Q37">SUMPRODUCT(ABS(G37:P37))</f>
        <v>3207.89</v>
      </c>
      <c r="R37" s="23" cm="1">
        <f t="array" ref="R37">LARGE(ABS(G37:P37),1)+LARGE(ABS(G37:P37),2)</f>
        <v>3125.92</v>
      </c>
      <c r="S37" s="25">
        <f t="shared" si="1"/>
        <v>0.97444737818316718</v>
      </c>
      <c r="T37" s="23">
        <f>IFERROR(_xlfn.XLOOKUP(A37, 'Nifty 50 Historical Data'!A:A, 'Nifty 50 Historical Data'!G:G), "")</f>
        <v>0.37</v>
      </c>
      <c r="W37" t="str">
        <f t="shared" si="2"/>
        <v>Strong FII Selling</v>
      </c>
      <c r="Y37">
        <f t="shared" si="3"/>
        <v>8</v>
      </c>
    </row>
    <row r="38" spans="1:25">
      <c r="A38" s="24">
        <v>46072</v>
      </c>
      <c r="B38" s="23">
        <f>SUMIFS(FII_DII_raw_synthetic_Jan_Jun2026[Net_Flow_Cr], FII_DII_raw_synthetic_Jan_Jun2026[Date], A38, FII_DII_raw_synthetic_Jan_Jun2026[Entity_Type], "FII")</f>
        <v>1004.28</v>
      </c>
      <c r="C38" s="23">
        <f>SUMIFS(FII_DII_raw_synthetic_Jan_Jun2026[Net_Flow_Cr], FII_DII_raw_synthetic_Jan_Jun2026[Date], A38, FII_DII_raw_synthetic_Jan_Jun2026[Entity_Type], "DII")</f>
        <v>-234.1</v>
      </c>
      <c r="D38" s="23">
        <f t="shared" ref="D38:E38" si="38">AVERAGE(B34:B38)</f>
        <v>-384.15199999999999</v>
      </c>
      <c r="E38" s="23">
        <f t="shared" si="38"/>
        <v>-104.26200000000003</v>
      </c>
      <c r="F38" s="23">
        <f t="shared" si="0"/>
        <v>770.18</v>
      </c>
      <c r="G38" s="23">
        <f>SUMIFS(FII_DII_raw_synthetic_Jan_Jun2026[Net_Flow_Cr], FII_DII_raw_synthetic_Jan_Jun2026[Date], $A38, FII_DII_raw_synthetic_Jan_Jun2026[Entity_Type], "FII", FII_DII_raw_synthetic_Jan_Jun2026[Sector], G$1)</f>
        <v>162.62</v>
      </c>
      <c r="H38" s="23">
        <f>SUMIFS(FII_DII_raw_synthetic_Jan_Jun2026[Net_Flow_Cr], FII_DII_raw_synthetic_Jan_Jun2026[Date], $A38, FII_DII_raw_synthetic_Jan_Jun2026[Entity_Type], "FII", FII_DII_raw_synthetic_Jan_Jun2026[Sector], H$1)</f>
        <v>0</v>
      </c>
      <c r="I38" s="23">
        <f>SUMIFS(FII_DII_raw_synthetic_Jan_Jun2026[Net_Flow_Cr], FII_DII_raw_synthetic_Jan_Jun2026[Date], $A38, FII_DII_raw_synthetic_Jan_Jun2026[Entity_Type], "FII", FII_DII_raw_synthetic_Jan_Jun2026[Sector], I$1)</f>
        <v>941.04</v>
      </c>
      <c r="J38" s="23">
        <f>SUMIFS(FII_DII_raw_synthetic_Jan_Jun2026[Net_Flow_Cr], FII_DII_raw_synthetic_Jan_Jun2026[Date], $A38, FII_DII_raw_synthetic_Jan_Jun2026[Entity_Type], "FII", FII_DII_raw_synthetic_Jan_Jun2026[Sector], J$1)</f>
        <v>0</v>
      </c>
      <c r="K38" s="23">
        <f>SUMIFS(FII_DII_raw_synthetic_Jan_Jun2026[Net_Flow_Cr], FII_DII_raw_synthetic_Jan_Jun2026[Date], $A38, FII_DII_raw_synthetic_Jan_Jun2026[Entity_Type], "FII", FII_DII_raw_synthetic_Jan_Jun2026[Sector], K$1)</f>
        <v>705.16</v>
      </c>
      <c r="L38" s="23">
        <f>SUMIFS(FII_DII_raw_synthetic_Jan_Jun2026[Net_Flow_Cr], FII_DII_raw_synthetic_Jan_Jun2026[Date], $A38, FII_DII_raw_synthetic_Jan_Jun2026[Entity_Type], "FII", FII_DII_raw_synthetic_Jan_Jun2026[Sector], L$1)</f>
        <v>0</v>
      </c>
      <c r="M38" s="23">
        <f>SUMIFS(FII_DII_raw_synthetic_Jan_Jun2026[Net_Flow_Cr], FII_DII_raw_synthetic_Jan_Jun2026[Date], $A38, FII_DII_raw_synthetic_Jan_Jun2026[Entity_Type], "FII", FII_DII_raw_synthetic_Jan_Jun2026[Sector], M$1)</f>
        <v>-804.54</v>
      </c>
      <c r="N38" s="23">
        <f>SUMIFS(FII_DII_raw_synthetic_Jan_Jun2026[Net_Flow_Cr], FII_DII_raw_synthetic_Jan_Jun2026[Date], $A38, FII_DII_raw_synthetic_Jan_Jun2026[Entity_Type], "FII", FII_DII_raw_synthetic_Jan_Jun2026[Sector], N$1)</f>
        <v>0</v>
      </c>
      <c r="O38" s="23">
        <f>SUMIFS(FII_DII_raw_synthetic_Jan_Jun2026[Net_Flow_Cr], FII_DII_raw_synthetic_Jan_Jun2026[Date], $A38, FII_DII_raw_synthetic_Jan_Jun2026[Entity_Type], "FII", FII_DII_raw_synthetic_Jan_Jun2026[Sector], O$1)</f>
        <v>0</v>
      </c>
      <c r="P38" s="23">
        <f>SUMIFS(FII_DII_raw_synthetic_Jan_Jun2026[Net_Flow_Cr], FII_DII_raw_synthetic_Jan_Jun2026[Date], $A38, FII_DII_raw_synthetic_Jan_Jun2026[Entity_Type], "FII", FII_DII_raw_synthetic_Jan_Jun2026[Sector], P$1)</f>
        <v>0</v>
      </c>
      <c r="Q38" s="23" cm="1">
        <f t="array" ref="Q38">SUMPRODUCT(ABS(G38:P38))</f>
        <v>2613.3599999999997</v>
      </c>
      <c r="R38" s="23" cm="1">
        <f t="array" ref="R38">LARGE(ABS(G38:P38),1)+LARGE(ABS(G38:P38),2)</f>
        <v>1745.58</v>
      </c>
      <c r="S38" s="25">
        <f t="shared" si="1"/>
        <v>0.66794471484984852</v>
      </c>
      <c r="T38" s="23">
        <f>IFERROR(_xlfn.XLOOKUP(A38, 'Nifty 50 Historical Data'!A:A, 'Nifty 50 Historical Data'!G:G), "")</f>
        <v>-1.41</v>
      </c>
      <c r="W38" t="str">
        <f t="shared" si="2"/>
        <v>Divergent Flow</v>
      </c>
      <c r="Y38">
        <f t="shared" si="3"/>
        <v>8</v>
      </c>
    </row>
    <row r="39" spans="1:25">
      <c r="A39" s="24">
        <v>46073</v>
      </c>
      <c r="B39" s="23">
        <f>SUMIFS(FII_DII_raw_synthetic_Jan_Jun2026[Net_Flow_Cr], FII_DII_raw_synthetic_Jan_Jun2026[Date], A39, FII_DII_raw_synthetic_Jan_Jun2026[Entity_Type], "FII")</f>
        <v>-771.64</v>
      </c>
      <c r="C39" s="23">
        <f>SUMIFS(FII_DII_raw_synthetic_Jan_Jun2026[Net_Flow_Cr], FII_DII_raw_synthetic_Jan_Jun2026[Date], A39, FII_DII_raw_synthetic_Jan_Jun2026[Entity_Type], "DII")</f>
        <v>3222.69</v>
      </c>
      <c r="D39" s="23">
        <f t="shared" ref="D39:E39" si="39">AVERAGE(B35:B39)</f>
        <v>68.296000000000021</v>
      </c>
      <c r="E39" s="23">
        <f t="shared" si="39"/>
        <v>370.95600000000002</v>
      </c>
      <c r="F39" s="23">
        <f t="shared" si="0"/>
        <v>-2451.0500000000002</v>
      </c>
      <c r="G39" s="23">
        <f>SUMIFS(FII_DII_raw_synthetic_Jan_Jun2026[Net_Flow_Cr], FII_DII_raw_synthetic_Jan_Jun2026[Date], $A39, FII_DII_raw_synthetic_Jan_Jun2026[Entity_Type], "FII", FII_DII_raw_synthetic_Jan_Jun2026[Sector], G$1)</f>
        <v>0</v>
      </c>
      <c r="H39" s="23">
        <f>SUMIFS(FII_DII_raw_synthetic_Jan_Jun2026[Net_Flow_Cr], FII_DII_raw_synthetic_Jan_Jun2026[Date], $A39, FII_DII_raw_synthetic_Jan_Jun2026[Entity_Type], "FII", FII_DII_raw_synthetic_Jan_Jun2026[Sector], H$1)</f>
        <v>0</v>
      </c>
      <c r="I39" s="23">
        <f>SUMIFS(FII_DII_raw_synthetic_Jan_Jun2026[Net_Flow_Cr], FII_DII_raw_synthetic_Jan_Jun2026[Date], $A39, FII_DII_raw_synthetic_Jan_Jun2026[Entity_Type], "FII", FII_DII_raw_synthetic_Jan_Jun2026[Sector], I$1)</f>
        <v>0</v>
      </c>
      <c r="J39" s="23">
        <f>SUMIFS(FII_DII_raw_synthetic_Jan_Jun2026[Net_Flow_Cr], FII_DII_raw_synthetic_Jan_Jun2026[Date], $A39, FII_DII_raw_synthetic_Jan_Jun2026[Entity_Type], "FII", FII_DII_raw_synthetic_Jan_Jun2026[Sector], J$1)</f>
        <v>0</v>
      </c>
      <c r="K39" s="23">
        <f>SUMIFS(FII_DII_raw_synthetic_Jan_Jun2026[Net_Flow_Cr], FII_DII_raw_synthetic_Jan_Jun2026[Date], $A39, FII_DII_raw_synthetic_Jan_Jun2026[Entity_Type], "FII", FII_DII_raw_synthetic_Jan_Jun2026[Sector], K$1)</f>
        <v>0</v>
      </c>
      <c r="L39" s="23">
        <f>SUMIFS(FII_DII_raw_synthetic_Jan_Jun2026[Net_Flow_Cr], FII_DII_raw_synthetic_Jan_Jun2026[Date], $A39, FII_DII_raw_synthetic_Jan_Jun2026[Entity_Type], "FII", FII_DII_raw_synthetic_Jan_Jun2026[Sector], L$1)</f>
        <v>0</v>
      </c>
      <c r="M39" s="23">
        <f>SUMIFS(FII_DII_raw_synthetic_Jan_Jun2026[Net_Flow_Cr], FII_DII_raw_synthetic_Jan_Jun2026[Date], $A39, FII_DII_raw_synthetic_Jan_Jun2026[Entity_Type], "FII", FII_DII_raw_synthetic_Jan_Jun2026[Sector], M$1)</f>
        <v>542.44000000000005</v>
      </c>
      <c r="N39" s="23">
        <f>SUMIFS(FII_DII_raw_synthetic_Jan_Jun2026[Net_Flow_Cr], FII_DII_raw_synthetic_Jan_Jun2026[Date], $A39, FII_DII_raw_synthetic_Jan_Jun2026[Entity_Type], "FII", FII_DII_raw_synthetic_Jan_Jun2026[Sector], N$1)</f>
        <v>-167.57</v>
      </c>
      <c r="O39" s="23">
        <f>SUMIFS(FII_DII_raw_synthetic_Jan_Jun2026[Net_Flow_Cr], FII_DII_raw_synthetic_Jan_Jun2026[Date], $A39, FII_DII_raw_synthetic_Jan_Jun2026[Entity_Type], "FII", FII_DII_raw_synthetic_Jan_Jun2026[Sector], O$1)</f>
        <v>-228.43</v>
      </c>
      <c r="P39" s="23">
        <f>SUMIFS(FII_DII_raw_synthetic_Jan_Jun2026[Net_Flow_Cr], FII_DII_raw_synthetic_Jan_Jun2026[Date], $A39, FII_DII_raw_synthetic_Jan_Jun2026[Entity_Type], "FII", FII_DII_raw_synthetic_Jan_Jun2026[Sector], P$1)</f>
        <v>-918.08</v>
      </c>
      <c r="Q39" s="23" cm="1">
        <f t="array" ref="Q39">SUMPRODUCT(ABS(G39:P39))</f>
        <v>1856.52</v>
      </c>
      <c r="R39" s="23" cm="1">
        <f t="array" ref="R39">LARGE(ABS(G39:P39),1)+LARGE(ABS(G39:P39),2)</f>
        <v>1460.52</v>
      </c>
      <c r="S39" s="25">
        <f t="shared" si="1"/>
        <v>0.78669769245685472</v>
      </c>
      <c r="T39" s="23">
        <f>IFERROR(_xlfn.XLOOKUP(A39, 'Nifty 50 Historical Data'!A:A, 'Nifty 50 Historical Data'!G:G), "")</f>
        <v>0.46</v>
      </c>
      <c r="W39" t="str">
        <f t="shared" si="2"/>
        <v>Divergent Flow</v>
      </c>
      <c r="Y39">
        <f t="shared" si="3"/>
        <v>8</v>
      </c>
    </row>
    <row r="40" spans="1:25">
      <c r="A40" s="24">
        <v>46076</v>
      </c>
      <c r="B40" s="23">
        <f>SUMIFS(FII_DII_raw_synthetic_Jan_Jun2026[Net_Flow_Cr], FII_DII_raw_synthetic_Jan_Jun2026[Date], A40, FII_DII_raw_synthetic_Jan_Jun2026[Entity_Type], "FII")</f>
        <v>1626.15</v>
      </c>
      <c r="C40" s="23">
        <f>SUMIFS(FII_DII_raw_synthetic_Jan_Jun2026[Net_Flow_Cr], FII_DII_raw_synthetic_Jan_Jun2026[Date], A40, FII_DII_raw_synthetic_Jan_Jun2026[Entity_Type], "DII")</f>
        <v>-853.56999999999971</v>
      </c>
      <c r="D40" s="23">
        <f t="shared" ref="D40:E40" si="40">AVERAGE(B36:B40)</f>
        <v>208.07000000000008</v>
      </c>
      <c r="E40" s="23">
        <f t="shared" si="40"/>
        <v>522.2360000000001</v>
      </c>
      <c r="F40" s="23">
        <f t="shared" si="0"/>
        <v>772.58000000000038</v>
      </c>
      <c r="G40" s="23">
        <f>SUMIFS(FII_DII_raw_synthetic_Jan_Jun2026[Net_Flow_Cr], FII_DII_raw_synthetic_Jan_Jun2026[Date], $A40, FII_DII_raw_synthetic_Jan_Jun2026[Entity_Type], "FII", FII_DII_raw_synthetic_Jan_Jun2026[Sector], G$1)</f>
        <v>80.930000000000007</v>
      </c>
      <c r="H40" s="23">
        <f>SUMIFS(FII_DII_raw_synthetic_Jan_Jun2026[Net_Flow_Cr], FII_DII_raw_synthetic_Jan_Jun2026[Date], $A40, FII_DII_raw_synthetic_Jan_Jun2026[Entity_Type], "FII", FII_DII_raw_synthetic_Jan_Jun2026[Sector], H$1)</f>
        <v>871.93</v>
      </c>
      <c r="I40" s="23">
        <f>SUMIFS(FII_DII_raw_synthetic_Jan_Jun2026[Net_Flow_Cr], FII_DII_raw_synthetic_Jan_Jun2026[Date], $A40, FII_DII_raw_synthetic_Jan_Jun2026[Entity_Type], "FII", FII_DII_raw_synthetic_Jan_Jun2026[Sector], I$1)</f>
        <v>-321.97000000000003</v>
      </c>
      <c r="J40" s="23">
        <f>SUMIFS(FII_DII_raw_synthetic_Jan_Jun2026[Net_Flow_Cr], FII_DII_raw_synthetic_Jan_Jun2026[Date], $A40, FII_DII_raw_synthetic_Jan_Jun2026[Entity_Type], "FII", FII_DII_raw_synthetic_Jan_Jun2026[Sector], J$1)</f>
        <v>0</v>
      </c>
      <c r="K40" s="23">
        <f>SUMIFS(FII_DII_raw_synthetic_Jan_Jun2026[Net_Flow_Cr], FII_DII_raw_synthetic_Jan_Jun2026[Date], $A40, FII_DII_raw_synthetic_Jan_Jun2026[Entity_Type], "FII", FII_DII_raw_synthetic_Jan_Jun2026[Sector], K$1)</f>
        <v>0</v>
      </c>
      <c r="L40" s="23">
        <f>SUMIFS(FII_DII_raw_synthetic_Jan_Jun2026[Net_Flow_Cr], FII_DII_raw_synthetic_Jan_Jun2026[Date], $A40, FII_DII_raw_synthetic_Jan_Jun2026[Entity_Type], "FII", FII_DII_raw_synthetic_Jan_Jun2026[Sector], L$1)</f>
        <v>0</v>
      </c>
      <c r="M40" s="23">
        <f>SUMIFS(FII_DII_raw_synthetic_Jan_Jun2026[Net_Flow_Cr], FII_DII_raw_synthetic_Jan_Jun2026[Date], $A40, FII_DII_raw_synthetic_Jan_Jun2026[Entity_Type], "FII", FII_DII_raw_synthetic_Jan_Jun2026[Sector], M$1)</f>
        <v>0</v>
      </c>
      <c r="N40" s="23">
        <f>SUMIFS(FII_DII_raw_synthetic_Jan_Jun2026[Net_Flow_Cr], FII_DII_raw_synthetic_Jan_Jun2026[Date], $A40, FII_DII_raw_synthetic_Jan_Jun2026[Entity_Type], "FII", FII_DII_raw_synthetic_Jan_Jun2026[Sector], N$1)</f>
        <v>0</v>
      </c>
      <c r="O40" s="23">
        <f>SUMIFS(FII_DII_raw_synthetic_Jan_Jun2026[Net_Flow_Cr], FII_DII_raw_synthetic_Jan_Jun2026[Date], $A40, FII_DII_raw_synthetic_Jan_Jun2026[Entity_Type], "FII", FII_DII_raw_synthetic_Jan_Jun2026[Sector], O$1)</f>
        <v>0</v>
      </c>
      <c r="P40" s="23">
        <f>SUMIFS(FII_DII_raw_synthetic_Jan_Jun2026[Net_Flow_Cr], FII_DII_raw_synthetic_Jan_Jun2026[Date], $A40, FII_DII_raw_synthetic_Jan_Jun2026[Entity_Type], "FII", FII_DII_raw_synthetic_Jan_Jun2026[Sector], P$1)</f>
        <v>995.26</v>
      </c>
      <c r="Q40" s="23" cm="1">
        <f t="array" ref="Q40">SUMPRODUCT(ABS(G40:P40))</f>
        <v>2270.09</v>
      </c>
      <c r="R40" s="23" cm="1">
        <f t="array" ref="R40">LARGE(ABS(G40:P40),1)+LARGE(ABS(G40:P40),2)</f>
        <v>1867.19</v>
      </c>
      <c r="S40" s="25">
        <f t="shared" si="1"/>
        <v>0.82251804994515632</v>
      </c>
      <c r="T40" s="23">
        <f>IFERROR(_xlfn.XLOOKUP(A40, 'Nifty 50 Historical Data'!A:A, 'Nifty 50 Historical Data'!G:G), "")</f>
        <v>0.55000000000000004</v>
      </c>
      <c r="W40" t="str">
        <f t="shared" si="2"/>
        <v>Divergent Flow</v>
      </c>
      <c r="Y40">
        <f t="shared" si="3"/>
        <v>9</v>
      </c>
    </row>
    <row r="41" spans="1:25">
      <c r="A41" s="24">
        <v>46077</v>
      </c>
      <c r="B41" s="23">
        <f>SUMIFS(FII_DII_raw_synthetic_Jan_Jun2026[Net_Flow_Cr], FII_DII_raw_synthetic_Jan_Jun2026[Date], A41, FII_DII_raw_synthetic_Jan_Jun2026[Entity_Type], "FII")</f>
        <v>2362.14</v>
      </c>
      <c r="C41" s="23">
        <f>SUMIFS(FII_DII_raw_synthetic_Jan_Jun2026[Net_Flow_Cr], FII_DII_raw_synthetic_Jan_Jun2026[Date], A41, FII_DII_raw_synthetic_Jan_Jun2026[Entity_Type], "DII")</f>
        <v>-2068.19</v>
      </c>
      <c r="D41" s="23">
        <f t="shared" ref="D41:E41" si="41">AVERAGE(B37:B41)</f>
        <v>235.39600000000002</v>
      </c>
      <c r="E41" s="23">
        <f t="shared" si="41"/>
        <v>-171.60399999999998</v>
      </c>
      <c r="F41" s="23">
        <f t="shared" si="0"/>
        <v>293.94999999999982</v>
      </c>
      <c r="G41" s="23">
        <f>SUMIFS(FII_DII_raw_synthetic_Jan_Jun2026[Net_Flow_Cr], FII_DII_raw_synthetic_Jan_Jun2026[Date], $A41, FII_DII_raw_synthetic_Jan_Jun2026[Entity_Type], "FII", FII_DII_raw_synthetic_Jan_Jun2026[Sector], G$1)</f>
        <v>0</v>
      </c>
      <c r="H41" s="23">
        <f>SUMIFS(FII_DII_raw_synthetic_Jan_Jun2026[Net_Flow_Cr], FII_DII_raw_synthetic_Jan_Jun2026[Date], $A41, FII_DII_raw_synthetic_Jan_Jun2026[Entity_Type], "FII", FII_DII_raw_synthetic_Jan_Jun2026[Sector], H$1)</f>
        <v>982.63000000000011</v>
      </c>
      <c r="I41" s="23">
        <f>SUMIFS(FII_DII_raw_synthetic_Jan_Jun2026[Net_Flow_Cr], FII_DII_raw_synthetic_Jan_Jun2026[Date], $A41, FII_DII_raw_synthetic_Jan_Jun2026[Entity_Type], "FII", FII_DII_raw_synthetic_Jan_Jun2026[Sector], I$1)</f>
        <v>0</v>
      </c>
      <c r="J41" s="23">
        <f>SUMIFS(FII_DII_raw_synthetic_Jan_Jun2026[Net_Flow_Cr], FII_DII_raw_synthetic_Jan_Jun2026[Date], $A41, FII_DII_raw_synthetic_Jan_Jun2026[Entity_Type], "FII", FII_DII_raw_synthetic_Jan_Jun2026[Sector], J$1)</f>
        <v>-1.18</v>
      </c>
      <c r="K41" s="23">
        <f>SUMIFS(FII_DII_raw_synthetic_Jan_Jun2026[Net_Flow_Cr], FII_DII_raw_synthetic_Jan_Jun2026[Date], $A41, FII_DII_raw_synthetic_Jan_Jun2026[Entity_Type], "FII", FII_DII_raw_synthetic_Jan_Jun2026[Sector], K$1)</f>
        <v>0</v>
      </c>
      <c r="L41" s="23">
        <f>SUMIFS(FII_DII_raw_synthetic_Jan_Jun2026[Net_Flow_Cr], FII_DII_raw_synthetic_Jan_Jun2026[Date], $A41, FII_DII_raw_synthetic_Jan_Jun2026[Entity_Type], "FII", FII_DII_raw_synthetic_Jan_Jun2026[Sector], L$1)</f>
        <v>0</v>
      </c>
      <c r="M41" s="23">
        <f>SUMIFS(FII_DII_raw_synthetic_Jan_Jun2026[Net_Flow_Cr], FII_DII_raw_synthetic_Jan_Jun2026[Date], $A41, FII_DII_raw_synthetic_Jan_Jun2026[Entity_Type], "FII", FII_DII_raw_synthetic_Jan_Jun2026[Sector], M$1)</f>
        <v>87.87</v>
      </c>
      <c r="N41" s="23">
        <f>SUMIFS(FII_DII_raw_synthetic_Jan_Jun2026[Net_Flow_Cr], FII_DII_raw_synthetic_Jan_Jun2026[Date], $A41, FII_DII_raw_synthetic_Jan_Jun2026[Entity_Type], "FII", FII_DII_raw_synthetic_Jan_Jun2026[Sector], N$1)</f>
        <v>0</v>
      </c>
      <c r="O41" s="23">
        <f>SUMIFS(FII_DII_raw_synthetic_Jan_Jun2026[Net_Flow_Cr], FII_DII_raw_synthetic_Jan_Jun2026[Date], $A41, FII_DII_raw_synthetic_Jan_Jun2026[Entity_Type], "FII", FII_DII_raw_synthetic_Jan_Jun2026[Sector], O$1)</f>
        <v>0</v>
      </c>
      <c r="P41" s="23">
        <f>SUMIFS(FII_DII_raw_synthetic_Jan_Jun2026[Net_Flow_Cr], FII_DII_raw_synthetic_Jan_Jun2026[Date], $A41, FII_DII_raw_synthetic_Jan_Jun2026[Entity_Type], "FII", FII_DII_raw_synthetic_Jan_Jun2026[Sector], P$1)</f>
        <v>1292.82</v>
      </c>
      <c r="Q41" s="23" cm="1">
        <f t="array" ref="Q41">SUMPRODUCT(ABS(G41:P41))</f>
        <v>2364.5</v>
      </c>
      <c r="R41" s="23" cm="1">
        <f t="array" ref="R41">LARGE(ABS(G41:P41),1)+LARGE(ABS(G41:P41),2)</f>
        <v>2275.4499999999998</v>
      </c>
      <c r="S41" s="25">
        <f t="shared" si="1"/>
        <v>0.96233876083738623</v>
      </c>
      <c r="T41" s="23">
        <f>IFERROR(_xlfn.XLOOKUP(A41, 'Nifty 50 Historical Data'!A:A, 'Nifty 50 Historical Data'!G:G), "")</f>
        <v>-1.1200000000000001</v>
      </c>
      <c r="W41" t="str">
        <f t="shared" si="2"/>
        <v>Strong FII Buying</v>
      </c>
      <c r="Y41">
        <f t="shared" si="3"/>
        <v>9</v>
      </c>
    </row>
    <row r="42" spans="1:25">
      <c r="A42" s="24">
        <v>46078</v>
      </c>
      <c r="B42" s="23">
        <f>SUMIFS(FII_DII_raw_synthetic_Jan_Jun2026[Net_Flow_Cr], FII_DII_raw_synthetic_Jan_Jun2026[Date], A42, FII_DII_raw_synthetic_Jan_Jun2026[Entity_Type], "FII")</f>
        <v>3258.4300000000003</v>
      </c>
      <c r="C42" s="23">
        <f>SUMIFS(FII_DII_raw_synthetic_Jan_Jun2026[Net_Flow_Cr], FII_DII_raw_synthetic_Jan_Jun2026[Date], A42, FII_DII_raw_synthetic_Jan_Jun2026[Entity_Type], "DII")</f>
        <v>1353.33</v>
      </c>
      <c r="D42" s="23">
        <f t="shared" ref="D42:E42" si="42">AVERAGE(B38:B42)</f>
        <v>1495.8720000000001</v>
      </c>
      <c r="E42" s="23">
        <f t="shared" si="42"/>
        <v>284.03200000000004</v>
      </c>
      <c r="F42" s="23">
        <f t="shared" si="0"/>
        <v>1905.1000000000004</v>
      </c>
      <c r="G42" s="23">
        <f>SUMIFS(FII_DII_raw_synthetic_Jan_Jun2026[Net_Flow_Cr], FII_DII_raw_synthetic_Jan_Jun2026[Date], $A42, FII_DII_raw_synthetic_Jan_Jun2026[Entity_Type], "FII", FII_DII_raw_synthetic_Jan_Jun2026[Sector], G$1)</f>
        <v>0</v>
      </c>
      <c r="H42" s="23">
        <f>SUMIFS(FII_DII_raw_synthetic_Jan_Jun2026[Net_Flow_Cr], FII_DII_raw_synthetic_Jan_Jun2026[Date], $A42, FII_DII_raw_synthetic_Jan_Jun2026[Entity_Type], "FII", FII_DII_raw_synthetic_Jan_Jun2026[Sector], H$1)</f>
        <v>0</v>
      </c>
      <c r="I42" s="23">
        <f>SUMIFS(FII_DII_raw_synthetic_Jan_Jun2026[Net_Flow_Cr], FII_DII_raw_synthetic_Jan_Jun2026[Date], $A42, FII_DII_raw_synthetic_Jan_Jun2026[Entity_Type], "FII", FII_DII_raw_synthetic_Jan_Jun2026[Sector], I$1)</f>
        <v>0</v>
      </c>
      <c r="J42" s="23">
        <f>SUMIFS(FII_DII_raw_synthetic_Jan_Jun2026[Net_Flow_Cr], FII_DII_raw_synthetic_Jan_Jun2026[Date], $A42, FII_DII_raw_synthetic_Jan_Jun2026[Entity_Type], "FII", FII_DII_raw_synthetic_Jan_Jun2026[Sector], J$1)</f>
        <v>1757.74</v>
      </c>
      <c r="K42" s="23">
        <f>SUMIFS(FII_DII_raw_synthetic_Jan_Jun2026[Net_Flow_Cr], FII_DII_raw_synthetic_Jan_Jun2026[Date], $A42, FII_DII_raw_synthetic_Jan_Jun2026[Entity_Type], "FII", FII_DII_raw_synthetic_Jan_Jun2026[Sector], K$1)</f>
        <v>0</v>
      </c>
      <c r="L42" s="23">
        <f>SUMIFS(FII_DII_raw_synthetic_Jan_Jun2026[Net_Flow_Cr], FII_DII_raw_synthetic_Jan_Jun2026[Date], $A42, FII_DII_raw_synthetic_Jan_Jun2026[Entity_Type], "FII", FII_DII_raw_synthetic_Jan_Jun2026[Sector], L$1)</f>
        <v>470</v>
      </c>
      <c r="M42" s="23">
        <f>SUMIFS(FII_DII_raw_synthetic_Jan_Jun2026[Net_Flow_Cr], FII_DII_raw_synthetic_Jan_Jun2026[Date], $A42, FII_DII_raw_synthetic_Jan_Jun2026[Entity_Type], "FII", FII_DII_raw_synthetic_Jan_Jun2026[Sector], M$1)</f>
        <v>0</v>
      </c>
      <c r="N42" s="23">
        <f>SUMIFS(FII_DII_raw_synthetic_Jan_Jun2026[Net_Flow_Cr], FII_DII_raw_synthetic_Jan_Jun2026[Date], $A42, FII_DII_raw_synthetic_Jan_Jun2026[Entity_Type], "FII", FII_DII_raw_synthetic_Jan_Jun2026[Sector], N$1)</f>
        <v>0</v>
      </c>
      <c r="O42" s="23">
        <f>SUMIFS(FII_DII_raw_synthetic_Jan_Jun2026[Net_Flow_Cr], FII_DII_raw_synthetic_Jan_Jun2026[Date], $A42, FII_DII_raw_synthetic_Jan_Jun2026[Entity_Type], "FII", FII_DII_raw_synthetic_Jan_Jun2026[Sector], O$1)</f>
        <v>0</v>
      </c>
      <c r="P42" s="23">
        <f>SUMIFS(FII_DII_raw_synthetic_Jan_Jun2026[Net_Flow_Cr], FII_DII_raw_synthetic_Jan_Jun2026[Date], $A42, FII_DII_raw_synthetic_Jan_Jun2026[Entity_Type], "FII", FII_DII_raw_synthetic_Jan_Jun2026[Sector], P$1)</f>
        <v>1030.69</v>
      </c>
      <c r="Q42" s="23" cm="1">
        <f t="array" ref="Q42">SUMPRODUCT(ABS(G42:P42))</f>
        <v>3258.43</v>
      </c>
      <c r="R42" s="23" cm="1">
        <f t="array" ref="R42">LARGE(ABS(G42:P42),1)+LARGE(ABS(G42:P42),2)</f>
        <v>2788.4300000000003</v>
      </c>
      <c r="S42" s="25">
        <f t="shared" si="1"/>
        <v>0.85575875498322829</v>
      </c>
      <c r="T42" s="23">
        <f>IFERROR(_xlfn.XLOOKUP(A42, 'Nifty 50 Historical Data'!A:A, 'Nifty 50 Historical Data'!G:G), "")</f>
        <v>0.23</v>
      </c>
      <c r="W42" t="str">
        <f t="shared" si="2"/>
        <v>Strong FII Buying</v>
      </c>
      <c r="Y42">
        <f t="shared" si="3"/>
        <v>9</v>
      </c>
    </row>
    <row r="43" spans="1:25">
      <c r="A43" s="24">
        <v>46079</v>
      </c>
      <c r="B43" s="23">
        <f>SUMIFS(FII_DII_raw_synthetic_Jan_Jun2026[Net_Flow_Cr], FII_DII_raw_synthetic_Jan_Jun2026[Date], A43, FII_DII_raw_synthetic_Jan_Jun2026[Entity_Type], "FII")</f>
        <v>1.8899999999999864</v>
      </c>
      <c r="C43" s="23">
        <f>SUMIFS(FII_DII_raw_synthetic_Jan_Jun2026[Net_Flow_Cr], FII_DII_raw_synthetic_Jan_Jun2026[Date], A43, FII_DII_raw_synthetic_Jan_Jun2026[Entity_Type], "DII")</f>
        <v>-2523.75</v>
      </c>
      <c r="D43" s="23">
        <f t="shared" ref="D43:E43" si="43">AVERAGE(B39:B43)</f>
        <v>1295.394</v>
      </c>
      <c r="E43" s="23">
        <f t="shared" si="43"/>
        <v>-173.89799999999997</v>
      </c>
      <c r="F43" s="23">
        <f t="shared" si="0"/>
        <v>-2521.86</v>
      </c>
      <c r="G43" s="23">
        <f>SUMIFS(FII_DII_raw_synthetic_Jan_Jun2026[Net_Flow_Cr], FII_DII_raw_synthetic_Jan_Jun2026[Date], $A43, FII_DII_raw_synthetic_Jan_Jun2026[Entity_Type], "FII", FII_DII_raw_synthetic_Jan_Jun2026[Sector], G$1)</f>
        <v>0</v>
      </c>
      <c r="H43" s="23">
        <f>SUMIFS(FII_DII_raw_synthetic_Jan_Jun2026[Net_Flow_Cr], FII_DII_raw_synthetic_Jan_Jun2026[Date], $A43, FII_DII_raw_synthetic_Jan_Jun2026[Entity_Type], "FII", FII_DII_raw_synthetic_Jan_Jun2026[Sector], H$1)</f>
        <v>0</v>
      </c>
      <c r="I43" s="23">
        <f>SUMIFS(FII_DII_raw_synthetic_Jan_Jun2026[Net_Flow_Cr], FII_DII_raw_synthetic_Jan_Jun2026[Date], $A43, FII_DII_raw_synthetic_Jan_Jun2026[Entity_Type], "FII", FII_DII_raw_synthetic_Jan_Jun2026[Sector], I$1)</f>
        <v>969.11</v>
      </c>
      <c r="J43" s="23">
        <f>SUMIFS(FII_DII_raw_synthetic_Jan_Jun2026[Net_Flow_Cr], FII_DII_raw_synthetic_Jan_Jun2026[Date], $A43, FII_DII_raw_synthetic_Jan_Jun2026[Entity_Type], "FII", FII_DII_raw_synthetic_Jan_Jun2026[Sector], J$1)</f>
        <v>-86.96</v>
      </c>
      <c r="K43" s="23">
        <f>SUMIFS(FII_DII_raw_synthetic_Jan_Jun2026[Net_Flow_Cr], FII_DII_raw_synthetic_Jan_Jun2026[Date], $A43, FII_DII_raw_synthetic_Jan_Jun2026[Entity_Type], "FII", FII_DII_raw_synthetic_Jan_Jun2026[Sector], K$1)</f>
        <v>478.63</v>
      </c>
      <c r="L43" s="23">
        <f>SUMIFS(FII_DII_raw_synthetic_Jan_Jun2026[Net_Flow_Cr], FII_DII_raw_synthetic_Jan_Jun2026[Date], $A43, FII_DII_raw_synthetic_Jan_Jun2026[Entity_Type], "FII", FII_DII_raw_synthetic_Jan_Jun2026[Sector], L$1)</f>
        <v>-1358.89</v>
      </c>
      <c r="M43" s="23">
        <f>SUMIFS(FII_DII_raw_synthetic_Jan_Jun2026[Net_Flow_Cr], FII_DII_raw_synthetic_Jan_Jun2026[Date], $A43, FII_DII_raw_synthetic_Jan_Jun2026[Entity_Type], "FII", FII_DII_raw_synthetic_Jan_Jun2026[Sector], M$1)</f>
        <v>0</v>
      </c>
      <c r="N43" s="23">
        <f>SUMIFS(FII_DII_raw_synthetic_Jan_Jun2026[Net_Flow_Cr], FII_DII_raw_synthetic_Jan_Jun2026[Date], $A43, FII_DII_raw_synthetic_Jan_Jun2026[Entity_Type], "FII", FII_DII_raw_synthetic_Jan_Jun2026[Sector], N$1)</f>
        <v>0</v>
      </c>
      <c r="O43" s="23">
        <f>SUMIFS(FII_DII_raw_synthetic_Jan_Jun2026[Net_Flow_Cr], FII_DII_raw_synthetic_Jan_Jun2026[Date], $A43, FII_DII_raw_synthetic_Jan_Jun2026[Entity_Type], "FII", FII_DII_raw_synthetic_Jan_Jun2026[Sector], O$1)</f>
        <v>0</v>
      </c>
      <c r="P43" s="23">
        <f>SUMIFS(FII_DII_raw_synthetic_Jan_Jun2026[Net_Flow_Cr], FII_DII_raw_synthetic_Jan_Jun2026[Date], $A43, FII_DII_raw_synthetic_Jan_Jun2026[Entity_Type], "FII", FII_DII_raw_synthetic_Jan_Jun2026[Sector], P$1)</f>
        <v>0</v>
      </c>
      <c r="Q43" s="23" cm="1">
        <f t="array" ref="Q43">SUMPRODUCT(ABS(G43:P43))</f>
        <v>2893.59</v>
      </c>
      <c r="R43" s="23" cm="1">
        <f t="array" ref="R43">LARGE(ABS(G43:P43),1)+LARGE(ABS(G43:P43),2)</f>
        <v>2328</v>
      </c>
      <c r="S43" s="25">
        <f t="shared" si="1"/>
        <v>0.80453692471981164</v>
      </c>
      <c r="T43" s="23">
        <f>IFERROR(_xlfn.XLOOKUP(A43, 'Nifty 50 Historical Data'!A:A, 'Nifty 50 Historical Data'!G:G), "")</f>
        <v>0.06</v>
      </c>
      <c r="W43" t="str">
        <f t="shared" si="2"/>
        <v>Divergent Flow</v>
      </c>
      <c r="Y43">
        <f t="shared" si="3"/>
        <v>9</v>
      </c>
    </row>
    <row r="44" spans="1:25">
      <c r="A44" s="24">
        <v>46080</v>
      </c>
      <c r="B44" s="23">
        <f>SUMIFS(FII_DII_raw_synthetic_Jan_Jun2026[Net_Flow_Cr], FII_DII_raw_synthetic_Jan_Jun2026[Date], A44, FII_DII_raw_synthetic_Jan_Jun2026[Entity_Type], "FII")</f>
        <v>-179.63999999999996</v>
      </c>
      <c r="C44" s="23">
        <f>SUMIFS(FII_DII_raw_synthetic_Jan_Jun2026[Net_Flow_Cr], FII_DII_raw_synthetic_Jan_Jun2026[Date], A44, FII_DII_raw_synthetic_Jan_Jun2026[Entity_Type], "DII")</f>
        <v>3771.8599999999997</v>
      </c>
      <c r="D44" s="23">
        <f t="shared" ref="D44:E44" si="44">AVERAGE(B40:B44)</f>
        <v>1413.7940000000001</v>
      </c>
      <c r="E44" s="23">
        <f t="shared" si="44"/>
        <v>-64.064000000000036</v>
      </c>
      <c r="F44" s="23">
        <f t="shared" si="0"/>
        <v>-3592.22</v>
      </c>
      <c r="G44" s="23">
        <f>SUMIFS(FII_DII_raw_synthetic_Jan_Jun2026[Net_Flow_Cr], FII_DII_raw_synthetic_Jan_Jun2026[Date], $A44, FII_DII_raw_synthetic_Jan_Jun2026[Entity_Type], "FII", FII_DII_raw_synthetic_Jan_Jun2026[Sector], G$1)</f>
        <v>0</v>
      </c>
      <c r="H44" s="23">
        <f>SUMIFS(FII_DII_raw_synthetic_Jan_Jun2026[Net_Flow_Cr], FII_DII_raw_synthetic_Jan_Jun2026[Date], $A44, FII_DII_raw_synthetic_Jan_Jun2026[Entity_Type], "FII", FII_DII_raw_synthetic_Jan_Jun2026[Sector], H$1)</f>
        <v>126.58</v>
      </c>
      <c r="I44" s="23">
        <f>SUMIFS(FII_DII_raw_synthetic_Jan_Jun2026[Net_Flow_Cr], FII_DII_raw_synthetic_Jan_Jun2026[Date], $A44, FII_DII_raw_synthetic_Jan_Jun2026[Entity_Type], "FII", FII_DII_raw_synthetic_Jan_Jun2026[Sector], I$1)</f>
        <v>393.18</v>
      </c>
      <c r="J44" s="23">
        <f>SUMIFS(FII_DII_raw_synthetic_Jan_Jun2026[Net_Flow_Cr], FII_DII_raw_synthetic_Jan_Jun2026[Date], $A44, FII_DII_raw_synthetic_Jan_Jun2026[Entity_Type], "FII", FII_DII_raw_synthetic_Jan_Jun2026[Sector], J$1)</f>
        <v>-582.80999999999995</v>
      </c>
      <c r="K44" s="23">
        <f>SUMIFS(FII_DII_raw_synthetic_Jan_Jun2026[Net_Flow_Cr], FII_DII_raw_synthetic_Jan_Jun2026[Date], $A44, FII_DII_raw_synthetic_Jan_Jun2026[Entity_Type], "FII", FII_DII_raw_synthetic_Jan_Jun2026[Sector], K$1)</f>
        <v>0</v>
      </c>
      <c r="L44" s="23">
        <f>SUMIFS(FII_DII_raw_synthetic_Jan_Jun2026[Net_Flow_Cr], FII_DII_raw_synthetic_Jan_Jun2026[Date], $A44, FII_DII_raw_synthetic_Jan_Jun2026[Entity_Type], "FII", FII_DII_raw_synthetic_Jan_Jun2026[Sector], L$1)</f>
        <v>-116.59</v>
      </c>
      <c r="M44" s="23">
        <f>SUMIFS(FII_DII_raw_synthetic_Jan_Jun2026[Net_Flow_Cr], FII_DII_raw_synthetic_Jan_Jun2026[Date], $A44, FII_DII_raw_synthetic_Jan_Jun2026[Entity_Type], "FII", FII_DII_raw_synthetic_Jan_Jun2026[Sector], M$1)</f>
        <v>0</v>
      </c>
      <c r="N44" s="23">
        <f>SUMIFS(FII_DII_raw_synthetic_Jan_Jun2026[Net_Flow_Cr], FII_DII_raw_synthetic_Jan_Jun2026[Date], $A44, FII_DII_raw_synthetic_Jan_Jun2026[Entity_Type], "FII", FII_DII_raw_synthetic_Jan_Jun2026[Sector], N$1)</f>
        <v>0</v>
      </c>
      <c r="O44" s="23">
        <f>SUMIFS(FII_DII_raw_synthetic_Jan_Jun2026[Net_Flow_Cr], FII_DII_raw_synthetic_Jan_Jun2026[Date], $A44, FII_DII_raw_synthetic_Jan_Jun2026[Entity_Type], "FII", FII_DII_raw_synthetic_Jan_Jun2026[Sector], O$1)</f>
        <v>0</v>
      </c>
      <c r="P44" s="23">
        <f>SUMIFS(FII_DII_raw_synthetic_Jan_Jun2026[Net_Flow_Cr], FII_DII_raw_synthetic_Jan_Jun2026[Date], $A44, FII_DII_raw_synthetic_Jan_Jun2026[Entity_Type], "FII", FII_DII_raw_synthetic_Jan_Jun2026[Sector], P$1)</f>
        <v>0</v>
      </c>
      <c r="Q44" s="23" cm="1">
        <f t="array" ref="Q44">SUMPRODUCT(ABS(G44:P44))</f>
        <v>1219.1599999999999</v>
      </c>
      <c r="R44" s="23" cm="1">
        <f t="array" ref="R44">LARGE(ABS(G44:P44),1)+LARGE(ABS(G44:P44),2)</f>
        <v>975.99</v>
      </c>
      <c r="S44" s="25">
        <f t="shared" si="1"/>
        <v>0.80054299681748098</v>
      </c>
      <c r="T44" s="23">
        <f>IFERROR(_xlfn.XLOOKUP(A44, 'Nifty 50 Historical Data'!A:A, 'Nifty 50 Historical Data'!G:G), "")</f>
        <v>-1.25</v>
      </c>
      <c r="W44" t="str">
        <f t="shared" si="2"/>
        <v>Divergent Flow</v>
      </c>
      <c r="Y44">
        <f t="shared" si="3"/>
        <v>9</v>
      </c>
    </row>
    <row r="45" spans="1:25">
      <c r="A45" s="24">
        <v>46083</v>
      </c>
      <c r="B45" s="23">
        <f>SUMIFS(FII_DII_raw_synthetic_Jan_Jun2026[Net_Flow_Cr], FII_DII_raw_synthetic_Jan_Jun2026[Date], A45, FII_DII_raw_synthetic_Jan_Jun2026[Entity_Type], "FII")</f>
        <v>-443.99999999999989</v>
      </c>
      <c r="C45" s="23">
        <f>SUMIFS(FII_DII_raw_synthetic_Jan_Jun2026[Net_Flow_Cr], FII_DII_raw_synthetic_Jan_Jun2026[Date], A45, FII_DII_raw_synthetic_Jan_Jun2026[Entity_Type], "DII")</f>
        <v>-1850.4999999999998</v>
      </c>
      <c r="D45" s="23">
        <f t="shared" ref="D45:E45" si="45">AVERAGE(B41:B45)</f>
        <v>999.7639999999999</v>
      </c>
      <c r="E45" s="23">
        <f t="shared" si="45"/>
        <v>-263.45000000000005</v>
      </c>
      <c r="F45" s="23">
        <f t="shared" si="0"/>
        <v>-1406.5</v>
      </c>
      <c r="G45" s="23">
        <f>SUMIFS(FII_DII_raw_synthetic_Jan_Jun2026[Net_Flow_Cr], FII_DII_raw_synthetic_Jan_Jun2026[Date], $A45, FII_DII_raw_synthetic_Jan_Jun2026[Entity_Type], "FII", FII_DII_raw_synthetic_Jan_Jun2026[Sector], G$1)</f>
        <v>0</v>
      </c>
      <c r="H45" s="23">
        <f>SUMIFS(FII_DII_raw_synthetic_Jan_Jun2026[Net_Flow_Cr], FII_DII_raw_synthetic_Jan_Jun2026[Date], $A45, FII_DII_raw_synthetic_Jan_Jun2026[Entity_Type], "FII", FII_DII_raw_synthetic_Jan_Jun2026[Sector], H$1)</f>
        <v>702.82</v>
      </c>
      <c r="I45" s="23">
        <f>SUMIFS(FII_DII_raw_synthetic_Jan_Jun2026[Net_Flow_Cr], FII_DII_raw_synthetic_Jan_Jun2026[Date], $A45, FII_DII_raw_synthetic_Jan_Jun2026[Entity_Type], "FII", FII_DII_raw_synthetic_Jan_Jun2026[Sector], I$1)</f>
        <v>0</v>
      </c>
      <c r="J45" s="23">
        <f>SUMIFS(FII_DII_raw_synthetic_Jan_Jun2026[Net_Flow_Cr], FII_DII_raw_synthetic_Jan_Jun2026[Date], $A45, FII_DII_raw_synthetic_Jan_Jun2026[Entity_Type], "FII", FII_DII_raw_synthetic_Jan_Jun2026[Sector], J$1)</f>
        <v>0</v>
      </c>
      <c r="K45" s="23">
        <f>SUMIFS(FII_DII_raw_synthetic_Jan_Jun2026[Net_Flow_Cr], FII_DII_raw_synthetic_Jan_Jun2026[Date], $A45, FII_DII_raw_synthetic_Jan_Jun2026[Entity_Type], "FII", FII_DII_raw_synthetic_Jan_Jun2026[Sector], K$1)</f>
        <v>0</v>
      </c>
      <c r="L45" s="23">
        <f>SUMIFS(FII_DII_raw_synthetic_Jan_Jun2026[Net_Flow_Cr], FII_DII_raw_synthetic_Jan_Jun2026[Date], $A45, FII_DII_raw_synthetic_Jan_Jun2026[Entity_Type], "FII", FII_DII_raw_synthetic_Jan_Jun2026[Sector], L$1)</f>
        <v>0</v>
      </c>
      <c r="M45" s="23">
        <f>SUMIFS(FII_DII_raw_synthetic_Jan_Jun2026[Net_Flow_Cr], FII_DII_raw_synthetic_Jan_Jun2026[Date], $A45, FII_DII_raw_synthetic_Jan_Jun2026[Entity_Type], "FII", FII_DII_raw_synthetic_Jan_Jun2026[Sector], M$1)</f>
        <v>-261.06</v>
      </c>
      <c r="N45" s="23">
        <f>SUMIFS(FII_DII_raw_synthetic_Jan_Jun2026[Net_Flow_Cr], FII_DII_raw_synthetic_Jan_Jun2026[Date], $A45, FII_DII_raw_synthetic_Jan_Jun2026[Entity_Type], "FII", FII_DII_raw_synthetic_Jan_Jun2026[Sector], N$1)</f>
        <v>0</v>
      </c>
      <c r="O45" s="23">
        <f>SUMIFS(FII_DII_raw_synthetic_Jan_Jun2026[Net_Flow_Cr], FII_DII_raw_synthetic_Jan_Jun2026[Date], $A45, FII_DII_raw_synthetic_Jan_Jun2026[Entity_Type], "FII", FII_DII_raw_synthetic_Jan_Jun2026[Sector], O$1)</f>
        <v>0</v>
      </c>
      <c r="P45" s="23">
        <f>SUMIFS(FII_DII_raw_synthetic_Jan_Jun2026[Net_Flow_Cr], FII_DII_raw_synthetic_Jan_Jun2026[Date], $A45, FII_DII_raw_synthetic_Jan_Jun2026[Entity_Type], "FII", FII_DII_raw_synthetic_Jan_Jun2026[Sector], P$1)</f>
        <v>-885.76</v>
      </c>
      <c r="Q45" s="23" cm="1">
        <f t="array" ref="Q45">SUMPRODUCT(ABS(G45:P45))</f>
        <v>1849.64</v>
      </c>
      <c r="R45" s="23" cm="1">
        <f t="array" ref="R45">LARGE(ABS(G45:P45),1)+LARGE(ABS(G45:P45),2)</f>
        <v>1588.58</v>
      </c>
      <c r="S45" s="25">
        <f t="shared" si="1"/>
        <v>0.85885902121493907</v>
      </c>
      <c r="T45" s="23">
        <f>IFERROR(_xlfn.XLOOKUP(A45, 'Nifty 50 Historical Data'!A:A, 'Nifty 50 Historical Data'!G:G), "")</f>
        <v>-1.24</v>
      </c>
      <c r="W45" t="str">
        <f t="shared" si="2"/>
        <v>Aligned Flow</v>
      </c>
      <c r="Y45">
        <f t="shared" si="3"/>
        <v>10</v>
      </c>
    </row>
    <row r="46" spans="1:25">
      <c r="A46" s="24">
        <v>46084</v>
      </c>
      <c r="B46" s="23">
        <f>SUMIFS(FII_DII_raw_synthetic_Jan_Jun2026[Net_Flow_Cr], FII_DII_raw_synthetic_Jan_Jun2026[Date], A46, FII_DII_raw_synthetic_Jan_Jun2026[Entity_Type], "FII")</f>
        <v>-59.149999999999977</v>
      </c>
      <c r="C46" s="23">
        <f>SUMIFS(FII_DII_raw_synthetic_Jan_Jun2026[Net_Flow_Cr], FII_DII_raw_synthetic_Jan_Jun2026[Date], A46, FII_DII_raw_synthetic_Jan_Jun2026[Entity_Type], "DII")</f>
        <v>1816.7399999999996</v>
      </c>
      <c r="D46" s="23">
        <f t="shared" ref="D46:E46" si="46">AVERAGE(B42:B46)</f>
        <v>515.50600000000009</v>
      </c>
      <c r="E46" s="23">
        <f t="shared" si="46"/>
        <v>513.53599999999983</v>
      </c>
      <c r="F46" s="23">
        <f t="shared" si="0"/>
        <v>-1757.5899999999997</v>
      </c>
      <c r="G46" s="23">
        <f>SUMIFS(FII_DII_raw_synthetic_Jan_Jun2026[Net_Flow_Cr], FII_DII_raw_synthetic_Jan_Jun2026[Date], $A46, FII_DII_raw_synthetic_Jan_Jun2026[Entity_Type], "FII", FII_DII_raw_synthetic_Jan_Jun2026[Sector], G$1)</f>
        <v>416.88</v>
      </c>
      <c r="H46" s="23">
        <f>SUMIFS(FII_DII_raw_synthetic_Jan_Jun2026[Net_Flow_Cr], FII_DII_raw_synthetic_Jan_Jun2026[Date], $A46, FII_DII_raw_synthetic_Jan_Jun2026[Entity_Type], "FII", FII_DII_raw_synthetic_Jan_Jun2026[Sector], H$1)</f>
        <v>0</v>
      </c>
      <c r="I46" s="23">
        <f>SUMIFS(FII_DII_raw_synthetic_Jan_Jun2026[Net_Flow_Cr], FII_DII_raw_synthetic_Jan_Jun2026[Date], $A46, FII_DII_raw_synthetic_Jan_Jun2026[Entity_Type], "FII", FII_DII_raw_synthetic_Jan_Jun2026[Sector], I$1)</f>
        <v>-779.87</v>
      </c>
      <c r="J46" s="23">
        <f>SUMIFS(FII_DII_raw_synthetic_Jan_Jun2026[Net_Flow_Cr], FII_DII_raw_synthetic_Jan_Jun2026[Date], $A46, FII_DII_raw_synthetic_Jan_Jun2026[Entity_Type], "FII", FII_DII_raw_synthetic_Jan_Jun2026[Sector], J$1)</f>
        <v>0</v>
      </c>
      <c r="K46" s="23">
        <f>SUMIFS(FII_DII_raw_synthetic_Jan_Jun2026[Net_Flow_Cr], FII_DII_raw_synthetic_Jan_Jun2026[Date], $A46, FII_DII_raw_synthetic_Jan_Jun2026[Entity_Type], "FII", FII_DII_raw_synthetic_Jan_Jun2026[Sector], K$1)</f>
        <v>0</v>
      </c>
      <c r="L46" s="23">
        <f>SUMIFS(FII_DII_raw_synthetic_Jan_Jun2026[Net_Flow_Cr], FII_DII_raw_synthetic_Jan_Jun2026[Date], $A46, FII_DII_raw_synthetic_Jan_Jun2026[Entity_Type], "FII", FII_DII_raw_synthetic_Jan_Jun2026[Sector], L$1)</f>
        <v>-243.67</v>
      </c>
      <c r="M46" s="23">
        <f>SUMIFS(FII_DII_raw_synthetic_Jan_Jun2026[Net_Flow_Cr], FII_DII_raw_synthetic_Jan_Jun2026[Date], $A46, FII_DII_raw_synthetic_Jan_Jun2026[Entity_Type], "FII", FII_DII_raw_synthetic_Jan_Jun2026[Sector], M$1)</f>
        <v>547.51</v>
      </c>
      <c r="N46" s="23">
        <f>SUMIFS(FII_DII_raw_synthetic_Jan_Jun2026[Net_Flow_Cr], FII_DII_raw_synthetic_Jan_Jun2026[Date], $A46, FII_DII_raw_synthetic_Jan_Jun2026[Entity_Type], "FII", FII_DII_raw_synthetic_Jan_Jun2026[Sector], N$1)</f>
        <v>0</v>
      </c>
      <c r="O46" s="23">
        <f>SUMIFS(FII_DII_raw_synthetic_Jan_Jun2026[Net_Flow_Cr], FII_DII_raw_synthetic_Jan_Jun2026[Date], $A46, FII_DII_raw_synthetic_Jan_Jun2026[Entity_Type], "FII", FII_DII_raw_synthetic_Jan_Jun2026[Sector], O$1)</f>
        <v>0</v>
      </c>
      <c r="P46" s="23">
        <f>SUMIFS(FII_DII_raw_synthetic_Jan_Jun2026[Net_Flow_Cr], FII_DII_raw_synthetic_Jan_Jun2026[Date], $A46, FII_DII_raw_synthetic_Jan_Jun2026[Entity_Type], "FII", FII_DII_raw_synthetic_Jan_Jun2026[Sector], P$1)</f>
        <v>0</v>
      </c>
      <c r="Q46" s="23" cm="1">
        <f t="array" ref="Q46">SUMPRODUCT(ABS(G46:P46))</f>
        <v>1987.93</v>
      </c>
      <c r="R46" s="23" cm="1">
        <f t="array" ref="R46">LARGE(ABS(G46:P46),1)+LARGE(ABS(G46:P46),2)</f>
        <v>1327.38</v>
      </c>
      <c r="S46" s="25">
        <f t="shared" si="1"/>
        <v>0.66771968831900519</v>
      </c>
      <c r="T46" s="23" t="str">
        <f>IFERROR(_xlfn.XLOOKUP(A46, 'Nifty 50 Historical Data'!A:A, 'Nifty 50 Historical Data'!G:G), "")</f>
        <v/>
      </c>
      <c r="W46" t="str">
        <f t="shared" si="2"/>
        <v>Divergent Flow</v>
      </c>
      <c r="Y46">
        <f t="shared" si="3"/>
        <v>10</v>
      </c>
    </row>
    <row r="47" spans="1:25">
      <c r="A47" s="24">
        <v>46086</v>
      </c>
      <c r="B47" s="23">
        <f>SUMIFS(FII_DII_raw_synthetic_Jan_Jun2026[Net_Flow_Cr], FII_DII_raw_synthetic_Jan_Jun2026[Date], A47, FII_DII_raw_synthetic_Jan_Jun2026[Entity_Type], "FII")</f>
        <v>279.2399999999999</v>
      </c>
      <c r="C47" s="23">
        <f>SUMIFS(FII_DII_raw_synthetic_Jan_Jun2026[Net_Flow_Cr], FII_DII_raw_synthetic_Jan_Jun2026[Date], A47, FII_DII_raw_synthetic_Jan_Jun2026[Entity_Type], "DII")</f>
        <v>-2027.96</v>
      </c>
      <c r="D47" s="23">
        <f t="shared" ref="D47:E47" si="47">AVERAGE(B43:B47)</f>
        <v>-80.331999999999994</v>
      </c>
      <c r="E47" s="23">
        <f t="shared" si="47"/>
        <v>-162.72200000000012</v>
      </c>
      <c r="F47" s="23">
        <f t="shared" si="0"/>
        <v>-1748.7200000000003</v>
      </c>
      <c r="G47" s="23">
        <f>SUMIFS(FII_DII_raw_synthetic_Jan_Jun2026[Net_Flow_Cr], FII_DII_raw_synthetic_Jan_Jun2026[Date], $A47, FII_DII_raw_synthetic_Jan_Jun2026[Entity_Type], "FII", FII_DII_raw_synthetic_Jan_Jun2026[Sector], G$1)</f>
        <v>1080.04</v>
      </c>
      <c r="H47" s="23">
        <f>SUMIFS(FII_DII_raw_synthetic_Jan_Jun2026[Net_Flow_Cr], FII_DII_raw_synthetic_Jan_Jun2026[Date], $A47, FII_DII_raw_synthetic_Jan_Jun2026[Entity_Type], "FII", FII_DII_raw_synthetic_Jan_Jun2026[Sector], H$1)</f>
        <v>0</v>
      </c>
      <c r="I47" s="23">
        <f>SUMIFS(FII_DII_raw_synthetic_Jan_Jun2026[Net_Flow_Cr], FII_DII_raw_synthetic_Jan_Jun2026[Date], $A47, FII_DII_raw_synthetic_Jan_Jun2026[Entity_Type], "FII", FII_DII_raw_synthetic_Jan_Jun2026[Sector], I$1)</f>
        <v>0</v>
      </c>
      <c r="J47" s="23">
        <f>SUMIFS(FII_DII_raw_synthetic_Jan_Jun2026[Net_Flow_Cr], FII_DII_raw_synthetic_Jan_Jun2026[Date], $A47, FII_DII_raw_synthetic_Jan_Jun2026[Entity_Type], "FII", FII_DII_raw_synthetic_Jan_Jun2026[Sector], J$1)</f>
        <v>0</v>
      </c>
      <c r="K47" s="23">
        <f>SUMIFS(FII_DII_raw_synthetic_Jan_Jun2026[Net_Flow_Cr], FII_DII_raw_synthetic_Jan_Jun2026[Date], $A47, FII_DII_raw_synthetic_Jan_Jun2026[Entity_Type], "FII", FII_DII_raw_synthetic_Jan_Jun2026[Sector], K$1)</f>
        <v>0</v>
      </c>
      <c r="L47" s="23">
        <f>SUMIFS(FII_DII_raw_synthetic_Jan_Jun2026[Net_Flow_Cr], FII_DII_raw_synthetic_Jan_Jun2026[Date], $A47, FII_DII_raw_synthetic_Jan_Jun2026[Entity_Type], "FII", FII_DII_raw_synthetic_Jan_Jun2026[Sector], L$1)</f>
        <v>0</v>
      </c>
      <c r="M47" s="23">
        <f>SUMIFS(FII_DII_raw_synthetic_Jan_Jun2026[Net_Flow_Cr], FII_DII_raw_synthetic_Jan_Jun2026[Date], $A47, FII_DII_raw_synthetic_Jan_Jun2026[Entity_Type], "FII", FII_DII_raw_synthetic_Jan_Jun2026[Sector], M$1)</f>
        <v>-651.86</v>
      </c>
      <c r="N47" s="23">
        <f>SUMIFS(FII_DII_raw_synthetic_Jan_Jun2026[Net_Flow_Cr], FII_DII_raw_synthetic_Jan_Jun2026[Date], $A47, FII_DII_raw_synthetic_Jan_Jun2026[Entity_Type], "FII", FII_DII_raw_synthetic_Jan_Jun2026[Sector], N$1)</f>
        <v>0</v>
      </c>
      <c r="O47" s="23">
        <f>SUMIFS(FII_DII_raw_synthetic_Jan_Jun2026[Net_Flow_Cr], FII_DII_raw_synthetic_Jan_Jun2026[Date], $A47, FII_DII_raw_synthetic_Jan_Jun2026[Entity_Type], "FII", FII_DII_raw_synthetic_Jan_Jun2026[Sector], O$1)</f>
        <v>-148.94</v>
      </c>
      <c r="P47" s="23">
        <f>SUMIFS(FII_DII_raw_synthetic_Jan_Jun2026[Net_Flow_Cr], FII_DII_raw_synthetic_Jan_Jun2026[Date], $A47, FII_DII_raw_synthetic_Jan_Jun2026[Entity_Type], "FII", FII_DII_raw_synthetic_Jan_Jun2026[Sector], P$1)</f>
        <v>0</v>
      </c>
      <c r="Q47" s="23" cm="1">
        <f t="array" ref="Q47">SUMPRODUCT(ABS(G47:P47))</f>
        <v>1880.8400000000001</v>
      </c>
      <c r="R47" s="23" cm="1">
        <f t="array" ref="R47">LARGE(ABS(G47:P47),1)+LARGE(ABS(G47:P47),2)</f>
        <v>1731.9</v>
      </c>
      <c r="S47" s="25">
        <f t="shared" si="1"/>
        <v>0.92081197762701772</v>
      </c>
      <c r="T47" s="23">
        <f>IFERROR(_xlfn.XLOOKUP(A47, 'Nifty 50 Historical Data'!A:A, 'Nifty 50 Historical Data'!G:G), "")</f>
        <v>1.17</v>
      </c>
      <c r="W47" t="str">
        <f t="shared" si="2"/>
        <v>Divergent Flow</v>
      </c>
      <c r="Y47">
        <f t="shared" si="3"/>
        <v>10</v>
      </c>
    </row>
    <row r="48" spans="1:25">
      <c r="A48" s="24">
        <v>46087</v>
      </c>
      <c r="B48" s="23">
        <f>SUMIFS(FII_DII_raw_synthetic_Jan_Jun2026[Net_Flow_Cr], FII_DII_raw_synthetic_Jan_Jun2026[Date], A48, FII_DII_raw_synthetic_Jan_Jun2026[Entity_Type], "FII")</f>
        <v>3561.08</v>
      </c>
      <c r="C48" s="23">
        <f>SUMIFS(FII_DII_raw_synthetic_Jan_Jun2026[Net_Flow_Cr], FII_DII_raw_synthetic_Jan_Jun2026[Date], A48, FII_DII_raw_synthetic_Jan_Jun2026[Entity_Type], "DII")</f>
        <v>-1380.9</v>
      </c>
      <c r="D48" s="23">
        <f t="shared" ref="D48:E48" si="48">AVERAGE(B44:B48)</f>
        <v>631.50599999999997</v>
      </c>
      <c r="E48" s="23">
        <f t="shared" si="48"/>
        <v>65.847999999999871</v>
      </c>
      <c r="F48" s="23">
        <f t="shared" si="0"/>
        <v>2180.1799999999998</v>
      </c>
      <c r="G48" s="23">
        <f>SUMIFS(FII_DII_raw_synthetic_Jan_Jun2026[Net_Flow_Cr], FII_DII_raw_synthetic_Jan_Jun2026[Date], $A48, FII_DII_raw_synthetic_Jan_Jun2026[Entity_Type], "FII", FII_DII_raw_synthetic_Jan_Jun2026[Sector], G$1)</f>
        <v>0</v>
      </c>
      <c r="H48" s="23">
        <f>SUMIFS(FII_DII_raw_synthetic_Jan_Jun2026[Net_Flow_Cr], FII_DII_raw_synthetic_Jan_Jun2026[Date], $A48, FII_DII_raw_synthetic_Jan_Jun2026[Entity_Type], "FII", FII_DII_raw_synthetic_Jan_Jun2026[Sector], H$1)</f>
        <v>1501.66</v>
      </c>
      <c r="I48" s="23">
        <f>SUMIFS(FII_DII_raw_synthetic_Jan_Jun2026[Net_Flow_Cr], FII_DII_raw_synthetic_Jan_Jun2026[Date], $A48, FII_DII_raw_synthetic_Jan_Jun2026[Entity_Type], "FII", FII_DII_raw_synthetic_Jan_Jun2026[Sector], I$1)</f>
        <v>0</v>
      </c>
      <c r="J48" s="23">
        <f>SUMIFS(FII_DII_raw_synthetic_Jan_Jun2026[Net_Flow_Cr], FII_DII_raw_synthetic_Jan_Jun2026[Date], $A48, FII_DII_raw_synthetic_Jan_Jun2026[Entity_Type], "FII", FII_DII_raw_synthetic_Jan_Jun2026[Sector], J$1)</f>
        <v>0</v>
      </c>
      <c r="K48" s="23">
        <f>SUMIFS(FII_DII_raw_synthetic_Jan_Jun2026[Net_Flow_Cr], FII_DII_raw_synthetic_Jan_Jun2026[Date], $A48, FII_DII_raw_synthetic_Jan_Jun2026[Entity_Type], "FII", FII_DII_raw_synthetic_Jan_Jun2026[Sector], K$1)</f>
        <v>0</v>
      </c>
      <c r="L48" s="23">
        <f>SUMIFS(FII_DII_raw_synthetic_Jan_Jun2026[Net_Flow_Cr], FII_DII_raw_synthetic_Jan_Jun2026[Date], $A48, FII_DII_raw_synthetic_Jan_Jun2026[Entity_Type], "FII", FII_DII_raw_synthetic_Jan_Jun2026[Sector], L$1)</f>
        <v>-876.14</v>
      </c>
      <c r="M48" s="23">
        <f>SUMIFS(FII_DII_raw_synthetic_Jan_Jun2026[Net_Flow_Cr], FII_DII_raw_synthetic_Jan_Jun2026[Date], $A48, FII_DII_raw_synthetic_Jan_Jun2026[Entity_Type], "FII", FII_DII_raw_synthetic_Jan_Jun2026[Sector], M$1)</f>
        <v>1887.05</v>
      </c>
      <c r="N48" s="23">
        <f>SUMIFS(FII_DII_raw_synthetic_Jan_Jun2026[Net_Flow_Cr], FII_DII_raw_synthetic_Jan_Jun2026[Date], $A48, FII_DII_raw_synthetic_Jan_Jun2026[Entity_Type], "FII", FII_DII_raw_synthetic_Jan_Jun2026[Sector], N$1)</f>
        <v>0</v>
      </c>
      <c r="O48" s="23">
        <f>SUMIFS(FII_DII_raw_synthetic_Jan_Jun2026[Net_Flow_Cr], FII_DII_raw_synthetic_Jan_Jun2026[Date], $A48, FII_DII_raw_synthetic_Jan_Jun2026[Entity_Type], "FII", FII_DII_raw_synthetic_Jan_Jun2026[Sector], O$1)</f>
        <v>1048.51</v>
      </c>
      <c r="P48" s="23">
        <f>SUMIFS(FII_DII_raw_synthetic_Jan_Jun2026[Net_Flow_Cr], FII_DII_raw_synthetic_Jan_Jun2026[Date], $A48, FII_DII_raw_synthetic_Jan_Jun2026[Entity_Type], "FII", FII_DII_raw_synthetic_Jan_Jun2026[Sector], P$1)</f>
        <v>0</v>
      </c>
      <c r="Q48" s="23" cm="1">
        <f t="array" ref="Q48">SUMPRODUCT(ABS(G48:P48))</f>
        <v>5313.3600000000006</v>
      </c>
      <c r="R48" s="23" cm="1">
        <f t="array" ref="R48">LARGE(ABS(G48:P48),1)+LARGE(ABS(G48:P48),2)</f>
        <v>3388.71</v>
      </c>
      <c r="S48" s="25">
        <f t="shared" si="1"/>
        <v>0.63777157956547259</v>
      </c>
      <c r="T48" s="23">
        <f>IFERROR(_xlfn.XLOOKUP(A48, 'Nifty 50 Historical Data'!A:A, 'Nifty 50 Historical Data'!G:G), "")</f>
        <v>-1.27</v>
      </c>
      <c r="W48" t="str">
        <f t="shared" si="2"/>
        <v>Strong FII Buying</v>
      </c>
      <c r="Y48">
        <f t="shared" si="3"/>
        <v>10</v>
      </c>
    </row>
    <row r="49" spans="1:25">
      <c r="A49" s="24">
        <v>46090</v>
      </c>
      <c r="B49" s="23">
        <f>SUMIFS(FII_DII_raw_synthetic_Jan_Jun2026[Net_Flow_Cr], FII_DII_raw_synthetic_Jan_Jun2026[Date], A49, FII_DII_raw_synthetic_Jan_Jun2026[Entity_Type], "FII")</f>
        <v>463.18000000000006</v>
      </c>
      <c r="C49" s="23">
        <f>SUMIFS(FII_DII_raw_synthetic_Jan_Jun2026[Net_Flow_Cr], FII_DII_raw_synthetic_Jan_Jun2026[Date], A49, FII_DII_raw_synthetic_Jan_Jun2026[Entity_Type], "DII")</f>
        <v>334.6</v>
      </c>
      <c r="D49" s="23">
        <f t="shared" ref="D49:E49" si="49">AVERAGE(B45:B49)</f>
        <v>760.07</v>
      </c>
      <c r="E49" s="23">
        <f t="shared" si="49"/>
        <v>-621.60400000000004</v>
      </c>
      <c r="F49" s="23">
        <f t="shared" si="0"/>
        <v>128.58000000000004</v>
      </c>
      <c r="G49" s="23">
        <f>SUMIFS(FII_DII_raw_synthetic_Jan_Jun2026[Net_Flow_Cr], FII_DII_raw_synthetic_Jan_Jun2026[Date], $A49, FII_DII_raw_synthetic_Jan_Jun2026[Entity_Type], "FII", FII_DII_raw_synthetic_Jan_Jun2026[Sector], G$1)</f>
        <v>0</v>
      </c>
      <c r="H49" s="23">
        <f>SUMIFS(FII_DII_raw_synthetic_Jan_Jun2026[Net_Flow_Cr], FII_DII_raw_synthetic_Jan_Jun2026[Date], $A49, FII_DII_raw_synthetic_Jan_Jun2026[Entity_Type], "FII", FII_DII_raw_synthetic_Jan_Jun2026[Sector], H$1)</f>
        <v>306.52999999999997</v>
      </c>
      <c r="I49" s="23">
        <f>SUMIFS(FII_DII_raw_synthetic_Jan_Jun2026[Net_Flow_Cr], FII_DII_raw_synthetic_Jan_Jun2026[Date], $A49, FII_DII_raw_synthetic_Jan_Jun2026[Entity_Type], "FII", FII_DII_raw_synthetic_Jan_Jun2026[Sector], I$1)</f>
        <v>0</v>
      </c>
      <c r="J49" s="23">
        <f>SUMIFS(FII_DII_raw_synthetic_Jan_Jun2026[Net_Flow_Cr], FII_DII_raw_synthetic_Jan_Jun2026[Date], $A49, FII_DII_raw_synthetic_Jan_Jun2026[Entity_Type], "FII", FII_DII_raw_synthetic_Jan_Jun2026[Sector], J$1)</f>
        <v>0</v>
      </c>
      <c r="K49" s="23">
        <f>SUMIFS(FII_DII_raw_synthetic_Jan_Jun2026[Net_Flow_Cr], FII_DII_raw_synthetic_Jan_Jun2026[Date], $A49, FII_DII_raw_synthetic_Jan_Jun2026[Entity_Type], "FII", FII_DII_raw_synthetic_Jan_Jun2026[Sector], K$1)</f>
        <v>0</v>
      </c>
      <c r="L49" s="23">
        <f>SUMIFS(FII_DII_raw_synthetic_Jan_Jun2026[Net_Flow_Cr], FII_DII_raw_synthetic_Jan_Jun2026[Date], $A49, FII_DII_raw_synthetic_Jan_Jun2026[Entity_Type], "FII", FII_DII_raw_synthetic_Jan_Jun2026[Sector], L$1)</f>
        <v>1131.71</v>
      </c>
      <c r="M49" s="23">
        <f>SUMIFS(FII_DII_raw_synthetic_Jan_Jun2026[Net_Flow_Cr], FII_DII_raw_synthetic_Jan_Jun2026[Date], $A49, FII_DII_raw_synthetic_Jan_Jun2026[Entity_Type], "FII", FII_DII_raw_synthetic_Jan_Jun2026[Sector], M$1)</f>
        <v>0</v>
      </c>
      <c r="N49" s="23">
        <f>SUMIFS(FII_DII_raw_synthetic_Jan_Jun2026[Net_Flow_Cr], FII_DII_raw_synthetic_Jan_Jun2026[Date], $A49, FII_DII_raw_synthetic_Jan_Jun2026[Entity_Type], "FII", FII_DII_raw_synthetic_Jan_Jun2026[Sector], N$1)</f>
        <v>0</v>
      </c>
      <c r="O49" s="23">
        <f>SUMIFS(FII_DII_raw_synthetic_Jan_Jun2026[Net_Flow_Cr], FII_DII_raw_synthetic_Jan_Jun2026[Date], $A49, FII_DII_raw_synthetic_Jan_Jun2026[Entity_Type], "FII", FII_DII_raw_synthetic_Jan_Jun2026[Sector], O$1)</f>
        <v>22.39</v>
      </c>
      <c r="P49" s="23">
        <f>SUMIFS(FII_DII_raw_synthetic_Jan_Jun2026[Net_Flow_Cr], FII_DII_raw_synthetic_Jan_Jun2026[Date], $A49, FII_DII_raw_synthetic_Jan_Jun2026[Entity_Type], "FII", FII_DII_raw_synthetic_Jan_Jun2026[Sector], P$1)</f>
        <v>-997.45</v>
      </c>
      <c r="Q49" s="23" cm="1">
        <f t="array" ref="Q49">SUMPRODUCT(ABS(G49:P49))</f>
        <v>2458.08</v>
      </c>
      <c r="R49" s="23" cm="1">
        <f t="array" ref="R49">LARGE(ABS(G49:P49),1)+LARGE(ABS(G49:P49),2)</f>
        <v>2129.16</v>
      </c>
      <c r="S49" s="25">
        <f t="shared" si="1"/>
        <v>0.86618824448349929</v>
      </c>
      <c r="T49" s="23">
        <f>IFERROR(_xlfn.XLOOKUP(A49, 'Nifty 50 Historical Data'!A:A, 'Nifty 50 Historical Data'!G:G), "")</f>
        <v>-1.73</v>
      </c>
      <c r="W49" t="str">
        <f t="shared" si="2"/>
        <v>Aligned Flow</v>
      </c>
      <c r="Y49">
        <f t="shared" si="3"/>
        <v>11</v>
      </c>
    </row>
    <row r="50" spans="1:25">
      <c r="A50" s="24">
        <v>46091</v>
      </c>
      <c r="B50" s="23">
        <f>SUMIFS(FII_DII_raw_synthetic_Jan_Jun2026[Net_Flow_Cr], FII_DII_raw_synthetic_Jan_Jun2026[Date], A50, FII_DII_raw_synthetic_Jan_Jun2026[Entity_Type], "FII")</f>
        <v>2768.79</v>
      </c>
      <c r="C50" s="23">
        <f>SUMIFS(FII_DII_raw_synthetic_Jan_Jun2026[Net_Flow_Cr], FII_DII_raw_synthetic_Jan_Jun2026[Date], A50, FII_DII_raw_synthetic_Jan_Jun2026[Entity_Type], "DII")</f>
        <v>-2019.3600000000001</v>
      </c>
      <c r="D50" s="23">
        <f t="shared" ref="D50:E50" si="50">AVERAGE(B46:B50)</f>
        <v>1402.6280000000002</v>
      </c>
      <c r="E50" s="23">
        <f t="shared" si="50"/>
        <v>-655.37600000000009</v>
      </c>
      <c r="F50" s="23">
        <f t="shared" si="0"/>
        <v>749.42999999999984</v>
      </c>
      <c r="G50" s="23">
        <f>SUMIFS(FII_DII_raw_synthetic_Jan_Jun2026[Net_Flow_Cr], FII_DII_raw_synthetic_Jan_Jun2026[Date], $A50, FII_DII_raw_synthetic_Jan_Jun2026[Entity_Type], "FII", FII_DII_raw_synthetic_Jan_Jun2026[Sector], G$1)</f>
        <v>551.12</v>
      </c>
      <c r="H50" s="23">
        <f>SUMIFS(FII_DII_raw_synthetic_Jan_Jun2026[Net_Flow_Cr], FII_DII_raw_synthetic_Jan_Jun2026[Date], $A50, FII_DII_raw_synthetic_Jan_Jun2026[Entity_Type], "FII", FII_DII_raw_synthetic_Jan_Jun2026[Sector], H$1)</f>
        <v>0</v>
      </c>
      <c r="I50" s="23">
        <f>SUMIFS(FII_DII_raw_synthetic_Jan_Jun2026[Net_Flow_Cr], FII_DII_raw_synthetic_Jan_Jun2026[Date], $A50, FII_DII_raw_synthetic_Jan_Jun2026[Entity_Type], "FII", FII_DII_raw_synthetic_Jan_Jun2026[Sector], I$1)</f>
        <v>1254.99</v>
      </c>
      <c r="J50" s="23">
        <f>SUMIFS(FII_DII_raw_synthetic_Jan_Jun2026[Net_Flow_Cr], FII_DII_raw_synthetic_Jan_Jun2026[Date], $A50, FII_DII_raw_synthetic_Jan_Jun2026[Entity_Type], "FII", FII_DII_raw_synthetic_Jan_Jun2026[Sector], J$1)</f>
        <v>0</v>
      </c>
      <c r="K50" s="23">
        <f>SUMIFS(FII_DII_raw_synthetic_Jan_Jun2026[Net_Flow_Cr], FII_DII_raw_synthetic_Jan_Jun2026[Date], $A50, FII_DII_raw_synthetic_Jan_Jun2026[Entity_Type], "FII", FII_DII_raw_synthetic_Jan_Jun2026[Sector], K$1)</f>
        <v>0</v>
      </c>
      <c r="L50" s="23">
        <f>SUMIFS(FII_DII_raw_synthetic_Jan_Jun2026[Net_Flow_Cr], FII_DII_raw_synthetic_Jan_Jun2026[Date], $A50, FII_DII_raw_synthetic_Jan_Jun2026[Entity_Type], "FII", FII_DII_raw_synthetic_Jan_Jun2026[Sector], L$1)</f>
        <v>652.54</v>
      </c>
      <c r="M50" s="23">
        <f>SUMIFS(FII_DII_raw_synthetic_Jan_Jun2026[Net_Flow_Cr], FII_DII_raw_synthetic_Jan_Jun2026[Date], $A50, FII_DII_raw_synthetic_Jan_Jun2026[Entity_Type], "FII", FII_DII_raw_synthetic_Jan_Jun2026[Sector], M$1)</f>
        <v>0</v>
      </c>
      <c r="N50" s="23">
        <f>SUMIFS(FII_DII_raw_synthetic_Jan_Jun2026[Net_Flow_Cr], FII_DII_raw_synthetic_Jan_Jun2026[Date], $A50, FII_DII_raw_synthetic_Jan_Jun2026[Entity_Type], "FII", FII_DII_raw_synthetic_Jan_Jun2026[Sector], N$1)</f>
        <v>310.14</v>
      </c>
      <c r="O50" s="23">
        <f>SUMIFS(FII_DII_raw_synthetic_Jan_Jun2026[Net_Flow_Cr], FII_DII_raw_synthetic_Jan_Jun2026[Date], $A50, FII_DII_raw_synthetic_Jan_Jun2026[Entity_Type], "FII", FII_DII_raw_synthetic_Jan_Jun2026[Sector], O$1)</f>
        <v>0</v>
      </c>
      <c r="P50" s="23">
        <f>SUMIFS(FII_DII_raw_synthetic_Jan_Jun2026[Net_Flow_Cr], FII_DII_raw_synthetic_Jan_Jun2026[Date], $A50, FII_DII_raw_synthetic_Jan_Jun2026[Entity_Type], "FII", FII_DII_raw_synthetic_Jan_Jun2026[Sector], P$1)</f>
        <v>0</v>
      </c>
      <c r="Q50" s="23" cm="1">
        <f t="array" ref="Q50">SUMPRODUCT(ABS(G50:P50))</f>
        <v>2768.79</v>
      </c>
      <c r="R50" s="23" cm="1">
        <f t="array" ref="R50">LARGE(ABS(G50:P50),1)+LARGE(ABS(G50:P50),2)</f>
        <v>1907.53</v>
      </c>
      <c r="S50" s="25">
        <f t="shared" si="1"/>
        <v>0.68893993405061416</v>
      </c>
      <c r="T50" s="23">
        <f>IFERROR(_xlfn.XLOOKUP(A50, 'Nifty 50 Historical Data'!A:A, 'Nifty 50 Historical Data'!G:G), "")</f>
        <v>0.97</v>
      </c>
      <c r="W50" t="str">
        <f t="shared" si="2"/>
        <v>Strong FII Buying</v>
      </c>
      <c r="Y50">
        <f t="shared" si="3"/>
        <v>11</v>
      </c>
    </row>
    <row r="51" spans="1:25">
      <c r="A51" s="24">
        <v>46092</v>
      </c>
      <c r="B51" s="23">
        <f>SUMIFS(FII_DII_raw_synthetic_Jan_Jun2026[Net_Flow_Cr], FII_DII_raw_synthetic_Jan_Jun2026[Date], A51, FII_DII_raw_synthetic_Jan_Jun2026[Entity_Type], "FII")</f>
        <v>-648.81000000000006</v>
      </c>
      <c r="C51" s="23">
        <f>SUMIFS(FII_DII_raw_synthetic_Jan_Jun2026[Net_Flow_Cr], FII_DII_raw_synthetic_Jan_Jun2026[Date], A51, FII_DII_raw_synthetic_Jan_Jun2026[Entity_Type], "DII")</f>
        <v>2698.8199999999997</v>
      </c>
      <c r="D51" s="23">
        <f t="shared" ref="D51:E51" si="51">AVERAGE(B47:B51)</f>
        <v>1284.6959999999999</v>
      </c>
      <c r="E51" s="23">
        <f t="shared" si="51"/>
        <v>-478.96000000000021</v>
      </c>
      <c r="F51" s="23">
        <f t="shared" si="0"/>
        <v>-2050.0099999999998</v>
      </c>
      <c r="G51" s="23">
        <f>SUMIFS(FII_DII_raw_synthetic_Jan_Jun2026[Net_Flow_Cr], FII_DII_raw_synthetic_Jan_Jun2026[Date], $A51, FII_DII_raw_synthetic_Jan_Jun2026[Entity_Type], "FII", FII_DII_raw_synthetic_Jan_Jun2026[Sector], G$1)</f>
        <v>0</v>
      </c>
      <c r="H51" s="23">
        <f>SUMIFS(FII_DII_raw_synthetic_Jan_Jun2026[Net_Flow_Cr], FII_DII_raw_synthetic_Jan_Jun2026[Date], $A51, FII_DII_raw_synthetic_Jan_Jun2026[Entity_Type], "FII", FII_DII_raw_synthetic_Jan_Jun2026[Sector], H$1)</f>
        <v>-644.02</v>
      </c>
      <c r="I51" s="23">
        <f>SUMIFS(FII_DII_raw_synthetic_Jan_Jun2026[Net_Flow_Cr], FII_DII_raw_synthetic_Jan_Jun2026[Date], $A51, FII_DII_raw_synthetic_Jan_Jun2026[Entity_Type], "FII", FII_DII_raw_synthetic_Jan_Jun2026[Sector], I$1)</f>
        <v>-938.95</v>
      </c>
      <c r="J51" s="23">
        <f>SUMIFS(FII_DII_raw_synthetic_Jan_Jun2026[Net_Flow_Cr], FII_DII_raw_synthetic_Jan_Jun2026[Date], $A51, FII_DII_raw_synthetic_Jan_Jun2026[Entity_Type], "FII", FII_DII_raw_synthetic_Jan_Jun2026[Sector], J$1)</f>
        <v>1391.3</v>
      </c>
      <c r="K51" s="23">
        <f>SUMIFS(FII_DII_raw_synthetic_Jan_Jun2026[Net_Flow_Cr], FII_DII_raw_synthetic_Jan_Jun2026[Date], $A51, FII_DII_raw_synthetic_Jan_Jun2026[Entity_Type], "FII", FII_DII_raw_synthetic_Jan_Jun2026[Sector], K$1)</f>
        <v>0</v>
      </c>
      <c r="L51" s="23">
        <f>SUMIFS(FII_DII_raw_synthetic_Jan_Jun2026[Net_Flow_Cr], FII_DII_raw_synthetic_Jan_Jun2026[Date], $A51, FII_DII_raw_synthetic_Jan_Jun2026[Entity_Type], "FII", FII_DII_raw_synthetic_Jan_Jun2026[Sector], L$1)</f>
        <v>0</v>
      </c>
      <c r="M51" s="23">
        <f>SUMIFS(FII_DII_raw_synthetic_Jan_Jun2026[Net_Flow_Cr], FII_DII_raw_synthetic_Jan_Jun2026[Date], $A51, FII_DII_raw_synthetic_Jan_Jun2026[Entity_Type], "FII", FII_DII_raw_synthetic_Jan_Jun2026[Sector], M$1)</f>
        <v>0</v>
      </c>
      <c r="N51" s="23">
        <f>SUMIFS(FII_DII_raw_synthetic_Jan_Jun2026[Net_Flow_Cr], FII_DII_raw_synthetic_Jan_Jun2026[Date], $A51, FII_DII_raw_synthetic_Jan_Jun2026[Entity_Type], "FII", FII_DII_raw_synthetic_Jan_Jun2026[Sector], N$1)</f>
        <v>-457.14</v>
      </c>
      <c r="O51" s="23">
        <f>SUMIFS(FII_DII_raw_synthetic_Jan_Jun2026[Net_Flow_Cr], FII_DII_raw_synthetic_Jan_Jun2026[Date], $A51, FII_DII_raw_synthetic_Jan_Jun2026[Entity_Type], "FII", FII_DII_raw_synthetic_Jan_Jun2026[Sector], O$1)</f>
        <v>0</v>
      </c>
      <c r="P51" s="23">
        <f>SUMIFS(FII_DII_raw_synthetic_Jan_Jun2026[Net_Flow_Cr], FII_DII_raw_synthetic_Jan_Jun2026[Date], $A51, FII_DII_raw_synthetic_Jan_Jun2026[Entity_Type], "FII", FII_DII_raw_synthetic_Jan_Jun2026[Sector], P$1)</f>
        <v>0</v>
      </c>
      <c r="Q51" s="23" cm="1">
        <f t="array" ref="Q51">SUMPRODUCT(ABS(G51:P51))</f>
        <v>3431.41</v>
      </c>
      <c r="R51" s="23" cm="1">
        <f t="array" ref="R51">LARGE(ABS(G51:P51),1)+LARGE(ABS(G51:P51),2)</f>
        <v>2330.25</v>
      </c>
      <c r="S51" s="25">
        <f t="shared" si="1"/>
        <v>0.67909401674530301</v>
      </c>
      <c r="T51" s="23">
        <f>IFERROR(_xlfn.XLOOKUP(A51, 'Nifty 50 Historical Data'!A:A, 'Nifty 50 Historical Data'!G:G), "")</f>
        <v>-1.63</v>
      </c>
      <c r="W51" t="str">
        <f t="shared" si="2"/>
        <v>Divergent Flow</v>
      </c>
      <c r="Y51">
        <f t="shared" si="3"/>
        <v>11</v>
      </c>
    </row>
    <row r="52" spans="1:25">
      <c r="A52" s="24">
        <v>46093</v>
      </c>
      <c r="B52" s="23">
        <f>SUMIFS(FII_DII_raw_synthetic_Jan_Jun2026[Net_Flow_Cr], FII_DII_raw_synthetic_Jan_Jun2026[Date], A52, FII_DII_raw_synthetic_Jan_Jun2026[Entity_Type], "FII")</f>
        <v>1715.8899999999999</v>
      </c>
      <c r="C52" s="23">
        <f>SUMIFS(FII_DII_raw_synthetic_Jan_Jun2026[Net_Flow_Cr], FII_DII_raw_synthetic_Jan_Jun2026[Date], A52, FII_DII_raw_synthetic_Jan_Jun2026[Entity_Type], "DII")</f>
        <v>693</v>
      </c>
      <c r="D52" s="23">
        <f t="shared" ref="D52:E52" si="52">AVERAGE(B48:B52)</f>
        <v>1572.0259999999998</v>
      </c>
      <c r="E52" s="23">
        <f t="shared" si="52"/>
        <v>65.231999999999886</v>
      </c>
      <c r="F52" s="23">
        <f t="shared" si="0"/>
        <v>1022.8899999999999</v>
      </c>
      <c r="G52" s="23">
        <f>SUMIFS(FII_DII_raw_synthetic_Jan_Jun2026[Net_Flow_Cr], FII_DII_raw_synthetic_Jan_Jun2026[Date], $A52, FII_DII_raw_synthetic_Jan_Jun2026[Entity_Type], "FII", FII_DII_raw_synthetic_Jan_Jun2026[Sector], G$1)</f>
        <v>0</v>
      </c>
      <c r="H52" s="23">
        <f>SUMIFS(FII_DII_raw_synthetic_Jan_Jun2026[Net_Flow_Cr], FII_DII_raw_synthetic_Jan_Jun2026[Date], $A52, FII_DII_raw_synthetic_Jan_Jun2026[Entity_Type], "FII", FII_DII_raw_synthetic_Jan_Jun2026[Sector], H$1)</f>
        <v>143.78</v>
      </c>
      <c r="I52" s="23">
        <f>SUMIFS(FII_DII_raw_synthetic_Jan_Jun2026[Net_Flow_Cr], FII_DII_raw_synthetic_Jan_Jun2026[Date], $A52, FII_DII_raw_synthetic_Jan_Jun2026[Entity_Type], "FII", FII_DII_raw_synthetic_Jan_Jun2026[Sector], I$1)</f>
        <v>0</v>
      </c>
      <c r="J52" s="23">
        <f>SUMIFS(FII_DII_raw_synthetic_Jan_Jun2026[Net_Flow_Cr], FII_DII_raw_synthetic_Jan_Jun2026[Date], $A52, FII_DII_raw_synthetic_Jan_Jun2026[Entity_Type], "FII", FII_DII_raw_synthetic_Jan_Jun2026[Sector], J$1)</f>
        <v>0</v>
      </c>
      <c r="K52" s="23">
        <f>SUMIFS(FII_DII_raw_synthetic_Jan_Jun2026[Net_Flow_Cr], FII_DII_raw_synthetic_Jan_Jun2026[Date], $A52, FII_DII_raw_synthetic_Jan_Jun2026[Entity_Type], "FII", FII_DII_raw_synthetic_Jan_Jun2026[Sector], K$1)</f>
        <v>0</v>
      </c>
      <c r="L52" s="23">
        <f>SUMIFS(FII_DII_raw_synthetic_Jan_Jun2026[Net_Flow_Cr], FII_DII_raw_synthetic_Jan_Jun2026[Date], $A52, FII_DII_raw_synthetic_Jan_Jun2026[Entity_Type], "FII", FII_DII_raw_synthetic_Jan_Jun2026[Sector], L$1)</f>
        <v>0</v>
      </c>
      <c r="M52" s="23">
        <f>SUMIFS(FII_DII_raw_synthetic_Jan_Jun2026[Net_Flow_Cr], FII_DII_raw_synthetic_Jan_Jun2026[Date], $A52, FII_DII_raw_synthetic_Jan_Jun2026[Entity_Type], "FII", FII_DII_raw_synthetic_Jan_Jun2026[Sector], M$1)</f>
        <v>762.48</v>
      </c>
      <c r="N52" s="23">
        <f>SUMIFS(FII_DII_raw_synthetic_Jan_Jun2026[Net_Flow_Cr], FII_DII_raw_synthetic_Jan_Jun2026[Date], $A52, FII_DII_raw_synthetic_Jan_Jun2026[Entity_Type], "FII", FII_DII_raw_synthetic_Jan_Jun2026[Sector], N$1)</f>
        <v>0</v>
      </c>
      <c r="O52" s="23">
        <f>SUMIFS(FII_DII_raw_synthetic_Jan_Jun2026[Net_Flow_Cr], FII_DII_raw_synthetic_Jan_Jun2026[Date], $A52, FII_DII_raw_synthetic_Jan_Jun2026[Entity_Type], "FII", FII_DII_raw_synthetic_Jan_Jun2026[Sector], O$1)</f>
        <v>809.63</v>
      </c>
      <c r="P52" s="23">
        <f>SUMIFS(FII_DII_raw_synthetic_Jan_Jun2026[Net_Flow_Cr], FII_DII_raw_synthetic_Jan_Jun2026[Date], $A52, FII_DII_raw_synthetic_Jan_Jun2026[Entity_Type], "FII", FII_DII_raw_synthetic_Jan_Jun2026[Sector], P$1)</f>
        <v>0</v>
      </c>
      <c r="Q52" s="23" cm="1">
        <f t="array" ref="Q52">SUMPRODUCT(ABS(G52:P52))</f>
        <v>1715.8899999999999</v>
      </c>
      <c r="R52" s="23" cm="1">
        <f t="array" ref="R52">LARGE(ABS(G52:P52),1)+LARGE(ABS(G52:P52),2)</f>
        <v>1572.1100000000001</v>
      </c>
      <c r="S52" s="25">
        <f t="shared" si="1"/>
        <v>0.91620674984993222</v>
      </c>
      <c r="T52" s="23">
        <f>IFERROR(_xlfn.XLOOKUP(A52, 'Nifty 50 Historical Data'!A:A, 'Nifty 50 Historical Data'!G:G), "")</f>
        <v>-0.95</v>
      </c>
      <c r="W52" t="str">
        <f t="shared" si="2"/>
        <v>Aligned Flow</v>
      </c>
      <c r="Y52">
        <f t="shared" si="3"/>
        <v>11</v>
      </c>
    </row>
    <row r="53" spans="1:25">
      <c r="A53" s="24">
        <v>46094</v>
      </c>
      <c r="B53" s="23">
        <f>SUMIFS(FII_DII_raw_synthetic_Jan_Jun2026[Net_Flow_Cr], FII_DII_raw_synthetic_Jan_Jun2026[Date], A53, FII_DII_raw_synthetic_Jan_Jun2026[Entity_Type], "FII")</f>
        <v>2031.44</v>
      </c>
      <c r="C53" s="23">
        <f>SUMIFS(FII_DII_raw_synthetic_Jan_Jun2026[Net_Flow_Cr], FII_DII_raw_synthetic_Jan_Jun2026[Date], A53, FII_DII_raw_synthetic_Jan_Jun2026[Entity_Type], "DII")</f>
        <v>2193.81</v>
      </c>
      <c r="D53" s="23">
        <f t="shared" ref="D53:E53" si="53">AVERAGE(B49:B53)</f>
        <v>1266.098</v>
      </c>
      <c r="E53" s="23">
        <f t="shared" si="53"/>
        <v>780.17399999999986</v>
      </c>
      <c r="F53" s="23">
        <f t="shared" si="0"/>
        <v>-162.36999999999989</v>
      </c>
      <c r="G53" s="23">
        <f>SUMIFS(FII_DII_raw_synthetic_Jan_Jun2026[Net_Flow_Cr], FII_DII_raw_synthetic_Jan_Jun2026[Date], $A53, FII_DII_raw_synthetic_Jan_Jun2026[Entity_Type], "FII", FII_DII_raw_synthetic_Jan_Jun2026[Sector], G$1)</f>
        <v>107.43</v>
      </c>
      <c r="H53" s="23">
        <f>SUMIFS(FII_DII_raw_synthetic_Jan_Jun2026[Net_Flow_Cr], FII_DII_raw_synthetic_Jan_Jun2026[Date], $A53, FII_DII_raw_synthetic_Jan_Jun2026[Entity_Type], "FII", FII_DII_raw_synthetic_Jan_Jun2026[Sector], H$1)</f>
        <v>0</v>
      </c>
      <c r="I53" s="23">
        <f>SUMIFS(FII_DII_raw_synthetic_Jan_Jun2026[Net_Flow_Cr], FII_DII_raw_synthetic_Jan_Jun2026[Date], $A53, FII_DII_raw_synthetic_Jan_Jun2026[Entity_Type], "FII", FII_DII_raw_synthetic_Jan_Jun2026[Sector], I$1)</f>
        <v>0</v>
      </c>
      <c r="J53" s="23">
        <f>SUMIFS(FII_DII_raw_synthetic_Jan_Jun2026[Net_Flow_Cr], FII_DII_raw_synthetic_Jan_Jun2026[Date], $A53, FII_DII_raw_synthetic_Jan_Jun2026[Entity_Type], "FII", FII_DII_raw_synthetic_Jan_Jun2026[Sector], J$1)</f>
        <v>904.83</v>
      </c>
      <c r="K53" s="23">
        <f>SUMIFS(FII_DII_raw_synthetic_Jan_Jun2026[Net_Flow_Cr], FII_DII_raw_synthetic_Jan_Jun2026[Date], $A53, FII_DII_raw_synthetic_Jan_Jun2026[Entity_Type], "FII", FII_DII_raw_synthetic_Jan_Jun2026[Sector], K$1)</f>
        <v>0</v>
      </c>
      <c r="L53" s="23">
        <f>SUMIFS(FII_DII_raw_synthetic_Jan_Jun2026[Net_Flow_Cr], FII_DII_raw_synthetic_Jan_Jun2026[Date], $A53, FII_DII_raw_synthetic_Jan_Jun2026[Entity_Type], "FII", FII_DII_raw_synthetic_Jan_Jun2026[Sector], L$1)</f>
        <v>0</v>
      </c>
      <c r="M53" s="23">
        <f>SUMIFS(FII_DII_raw_synthetic_Jan_Jun2026[Net_Flow_Cr], FII_DII_raw_synthetic_Jan_Jun2026[Date], $A53, FII_DII_raw_synthetic_Jan_Jun2026[Entity_Type], "FII", FII_DII_raw_synthetic_Jan_Jun2026[Sector], M$1)</f>
        <v>0</v>
      </c>
      <c r="N53" s="23">
        <f>SUMIFS(FII_DII_raw_synthetic_Jan_Jun2026[Net_Flow_Cr], FII_DII_raw_synthetic_Jan_Jun2026[Date], $A53, FII_DII_raw_synthetic_Jan_Jun2026[Entity_Type], "FII", FII_DII_raw_synthetic_Jan_Jun2026[Sector], N$1)</f>
        <v>0</v>
      </c>
      <c r="O53" s="23">
        <f>SUMIFS(FII_DII_raw_synthetic_Jan_Jun2026[Net_Flow_Cr], FII_DII_raw_synthetic_Jan_Jun2026[Date], $A53, FII_DII_raw_synthetic_Jan_Jun2026[Entity_Type], "FII", FII_DII_raw_synthetic_Jan_Jun2026[Sector], O$1)</f>
        <v>0</v>
      </c>
      <c r="P53" s="23">
        <f>SUMIFS(FII_DII_raw_synthetic_Jan_Jun2026[Net_Flow_Cr], FII_DII_raw_synthetic_Jan_Jun2026[Date], $A53, FII_DII_raw_synthetic_Jan_Jun2026[Entity_Type], "FII", FII_DII_raw_synthetic_Jan_Jun2026[Sector], P$1)</f>
        <v>1019.18</v>
      </c>
      <c r="Q53" s="23" cm="1">
        <f t="array" ref="Q53">SUMPRODUCT(ABS(G53:P53))</f>
        <v>2031.44</v>
      </c>
      <c r="R53" s="23" cm="1">
        <f t="array" ref="R53">LARGE(ABS(G53:P53),1)+LARGE(ABS(G53:P53),2)</f>
        <v>1924.01</v>
      </c>
      <c r="S53" s="25">
        <f t="shared" si="1"/>
        <v>0.94711633127239792</v>
      </c>
      <c r="T53" s="23">
        <f>IFERROR(_xlfn.XLOOKUP(A53, 'Nifty 50 Historical Data'!A:A, 'Nifty 50 Historical Data'!G:G), "")</f>
        <v>-2.06</v>
      </c>
      <c r="W53" t="str">
        <f t="shared" si="2"/>
        <v>Strong FII Buying</v>
      </c>
      <c r="Y53">
        <f t="shared" si="3"/>
        <v>11</v>
      </c>
    </row>
    <row r="54" spans="1:25">
      <c r="A54" s="24">
        <v>46097</v>
      </c>
      <c r="B54" s="23">
        <f>SUMIFS(FII_DII_raw_synthetic_Jan_Jun2026[Net_Flow_Cr], FII_DII_raw_synthetic_Jan_Jun2026[Date], A54, FII_DII_raw_synthetic_Jan_Jun2026[Entity_Type], "FII")</f>
        <v>-2893.48</v>
      </c>
      <c r="C54" s="23">
        <f>SUMIFS(FII_DII_raw_synthetic_Jan_Jun2026[Net_Flow_Cr], FII_DII_raw_synthetic_Jan_Jun2026[Date], A54, FII_DII_raw_synthetic_Jan_Jun2026[Entity_Type], "DII")</f>
        <v>-3683.5699999999997</v>
      </c>
      <c r="D54" s="23">
        <f t="shared" ref="D54:E54" si="54">AVERAGE(B50:B54)</f>
        <v>594.76599999999985</v>
      </c>
      <c r="E54" s="23">
        <f t="shared" si="54"/>
        <v>-23.460000000000036</v>
      </c>
      <c r="F54" s="23">
        <f t="shared" si="0"/>
        <v>-790.08999999999969</v>
      </c>
      <c r="G54" s="23">
        <f>SUMIFS(FII_DII_raw_synthetic_Jan_Jun2026[Net_Flow_Cr], FII_DII_raw_synthetic_Jan_Jun2026[Date], $A54, FII_DII_raw_synthetic_Jan_Jun2026[Entity_Type], "FII", FII_DII_raw_synthetic_Jan_Jun2026[Sector], G$1)</f>
        <v>0</v>
      </c>
      <c r="H54" s="23">
        <f>SUMIFS(FII_DII_raw_synthetic_Jan_Jun2026[Net_Flow_Cr], FII_DII_raw_synthetic_Jan_Jun2026[Date], $A54, FII_DII_raw_synthetic_Jan_Jun2026[Entity_Type], "FII", FII_DII_raw_synthetic_Jan_Jun2026[Sector], H$1)</f>
        <v>-1466.68</v>
      </c>
      <c r="I54" s="23">
        <f>SUMIFS(FII_DII_raw_synthetic_Jan_Jun2026[Net_Flow_Cr], FII_DII_raw_synthetic_Jan_Jun2026[Date], $A54, FII_DII_raw_synthetic_Jan_Jun2026[Entity_Type], "FII", FII_DII_raw_synthetic_Jan_Jun2026[Sector], I$1)</f>
        <v>0</v>
      </c>
      <c r="J54" s="23">
        <f>SUMIFS(FII_DII_raw_synthetic_Jan_Jun2026[Net_Flow_Cr], FII_DII_raw_synthetic_Jan_Jun2026[Date], $A54, FII_DII_raw_synthetic_Jan_Jun2026[Entity_Type], "FII", FII_DII_raw_synthetic_Jan_Jun2026[Sector], J$1)</f>
        <v>0</v>
      </c>
      <c r="K54" s="23">
        <f>SUMIFS(FII_DII_raw_synthetic_Jan_Jun2026[Net_Flow_Cr], FII_DII_raw_synthetic_Jan_Jun2026[Date], $A54, FII_DII_raw_synthetic_Jan_Jun2026[Entity_Type], "FII", FII_DII_raw_synthetic_Jan_Jun2026[Sector], K$1)</f>
        <v>0</v>
      </c>
      <c r="L54" s="23">
        <f>SUMIFS(FII_DII_raw_synthetic_Jan_Jun2026[Net_Flow_Cr], FII_DII_raw_synthetic_Jan_Jun2026[Date], $A54, FII_DII_raw_synthetic_Jan_Jun2026[Entity_Type], "FII", FII_DII_raw_synthetic_Jan_Jun2026[Sector], L$1)</f>
        <v>0</v>
      </c>
      <c r="M54" s="23">
        <f>SUMIFS(FII_DII_raw_synthetic_Jan_Jun2026[Net_Flow_Cr], FII_DII_raw_synthetic_Jan_Jun2026[Date], $A54, FII_DII_raw_synthetic_Jan_Jun2026[Entity_Type], "FII", FII_DII_raw_synthetic_Jan_Jun2026[Sector], M$1)</f>
        <v>-419.64</v>
      </c>
      <c r="N54" s="23">
        <f>SUMIFS(FII_DII_raw_synthetic_Jan_Jun2026[Net_Flow_Cr], FII_DII_raw_synthetic_Jan_Jun2026[Date], $A54, FII_DII_raw_synthetic_Jan_Jun2026[Entity_Type], "FII", FII_DII_raw_synthetic_Jan_Jun2026[Sector], N$1)</f>
        <v>0</v>
      </c>
      <c r="O54" s="23">
        <f>SUMIFS(FII_DII_raw_synthetic_Jan_Jun2026[Net_Flow_Cr], FII_DII_raw_synthetic_Jan_Jun2026[Date], $A54, FII_DII_raw_synthetic_Jan_Jun2026[Entity_Type], "FII", FII_DII_raw_synthetic_Jan_Jun2026[Sector], O$1)</f>
        <v>-1007.16</v>
      </c>
      <c r="P54" s="23">
        <f>SUMIFS(FII_DII_raw_synthetic_Jan_Jun2026[Net_Flow_Cr], FII_DII_raw_synthetic_Jan_Jun2026[Date], $A54, FII_DII_raw_synthetic_Jan_Jun2026[Entity_Type], "FII", FII_DII_raw_synthetic_Jan_Jun2026[Sector], P$1)</f>
        <v>0</v>
      </c>
      <c r="Q54" s="23" cm="1">
        <f t="array" ref="Q54">SUMPRODUCT(ABS(G54:P54))</f>
        <v>2893.48</v>
      </c>
      <c r="R54" s="23" cm="1">
        <f t="array" ref="R54">LARGE(ABS(G54:P54),1)+LARGE(ABS(G54:P54),2)</f>
        <v>2473.84</v>
      </c>
      <c r="S54" s="25">
        <f t="shared" si="1"/>
        <v>0.8549704853671013</v>
      </c>
      <c r="T54" s="23">
        <f>IFERROR(_xlfn.XLOOKUP(A54, 'Nifty 50 Historical Data'!A:A, 'Nifty 50 Historical Data'!G:G), "")</f>
        <v>1.1100000000000001</v>
      </c>
      <c r="W54" t="str">
        <f t="shared" si="2"/>
        <v>Strong FII Selling</v>
      </c>
      <c r="Y54">
        <f t="shared" si="3"/>
        <v>12</v>
      </c>
    </row>
    <row r="55" spans="1:25">
      <c r="A55" s="24">
        <v>46098</v>
      </c>
      <c r="B55" s="23">
        <f>SUMIFS(FII_DII_raw_synthetic_Jan_Jun2026[Net_Flow_Cr], FII_DII_raw_synthetic_Jan_Jun2026[Date], A55, FII_DII_raw_synthetic_Jan_Jun2026[Entity_Type], "FII")</f>
        <v>-2815.8899999999994</v>
      </c>
      <c r="C55" s="23">
        <f>SUMIFS(FII_DII_raw_synthetic_Jan_Jun2026[Net_Flow_Cr], FII_DII_raw_synthetic_Jan_Jun2026[Date], A55, FII_DII_raw_synthetic_Jan_Jun2026[Entity_Type], "DII")</f>
        <v>-701.6</v>
      </c>
      <c r="D55" s="23">
        <f t="shared" ref="D55:E55" si="55">AVERAGE(B51:B55)</f>
        <v>-522.16999999999985</v>
      </c>
      <c r="E55" s="23">
        <f t="shared" si="55"/>
        <v>240.09199999999993</v>
      </c>
      <c r="F55" s="23">
        <f t="shared" si="0"/>
        <v>2114.2899999999995</v>
      </c>
      <c r="G55" s="23">
        <f>SUMIFS(FII_DII_raw_synthetic_Jan_Jun2026[Net_Flow_Cr], FII_DII_raw_synthetic_Jan_Jun2026[Date], $A55, FII_DII_raw_synthetic_Jan_Jun2026[Entity_Type], "FII", FII_DII_raw_synthetic_Jan_Jun2026[Sector], G$1)</f>
        <v>-370.02</v>
      </c>
      <c r="H55" s="23">
        <f>SUMIFS(FII_DII_raw_synthetic_Jan_Jun2026[Net_Flow_Cr], FII_DII_raw_synthetic_Jan_Jun2026[Date], $A55, FII_DII_raw_synthetic_Jan_Jun2026[Entity_Type], "FII", FII_DII_raw_synthetic_Jan_Jun2026[Sector], H$1)</f>
        <v>-987.64</v>
      </c>
      <c r="I55" s="23">
        <f>SUMIFS(FII_DII_raw_synthetic_Jan_Jun2026[Net_Flow_Cr], FII_DII_raw_synthetic_Jan_Jun2026[Date], $A55, FII_DII_raw_synthetic_Jan_Jun2026[Entity_Type], "FII", FII_DII_raw_synthetic_Jan_Jun2026[Sector], I$1)</f>
        <v>0</v>
      </c>
      <c r="J55" s="23">
        <f>SUMIFS(FII_DII_raw_synthetic_Jan_Jun2026[Net_Flow_Cr], FII_DII_raw_synthetic_Jan_Jun2026[Date], $A55, FII_DII_raw_synthetic_Jan_Jun2026[Entity_Type], "FII", FII_DII_raw_synthetic_Jan_Jun2026[Sector], J$1)</f>
        <v>-647.99</v>
      </c>
      <c r="K55" s="23">
        <f>SUMIFS(FII_DII_raw_synthetic_Jan_Jun2026[Net_Flow_Cr], FII_DII_raw_synthetic_Jan_Jun2026[Date], $A55, FII_DII_raw_synthetic_Jan_Jun2026[Entity_Type], "FII", FII_DII_raw_synthetic_Jan_Jun2026[Sector], K$1)</f>
        <v>0</v>
      </c>
      <c r="L55" s="23">
        <f>SUMIFS(FII_DII_raw_synthetic_Jan_Jun2026[Net_Flow_Cr], FII_DII_raw_synthetic_Jan_Jun2026[Date], $A55, FII_DII_raw_synthetic_Jan_Jun2026[Entity_Type], "FII", FII_DII_raw_synthetic_Jan_Jun2026[Sector], L$1)</f>
        <v>0</v>
      </c>
      <c r="M55" s="23">
        <f>SUMIFS(FII_DII_raw_synthetic_Jan_Jun2026[Net_Flow_Cr], FII_DII_raw_synthetic_Jan_Jun2026[Date], $A55, FII_DII_raw_synthetic_Jan_Jun2026[Entity_Type], "FII", FII_DII_raw_synthetic_Jan_Jun2026[Sector], M$1)</f>
        <v>0</v>
      </c>
      <c r="N55" s="23">
        <f>SUMIFS(FII_DII_raw_synthetic_Jan_Jun2026[Net_Flow_Cr], FII_DII_raw_synthetic_Jan_Jun2026[Date], $A55, FII_DII_raw_synthetic_Jan_Jun2026[Entity_Type], "FII", FII_DII_raw_synthetic_Jan_Jun2026[Sector], N$1)</f>
        <v>-810.24</v>
      </c>
      <c r="O55" s="23">
        <f>SUMIFS(FII_DII_raw_synthetic_Jan_Jun2026[Net_Flow_Cr], FII_DII_raw_synthetic_Jan_Jun2026[Date], $A55, FII_DII_raw_synthetic_Jan_Jun2026[Entity_Type], "FII", FII_DII_raw_synthetic_Jan_Jun2026[Sector], O$1)</f>
        <v>0</v>
      </c>
      <c r="P55" s="23">
        <f>SUMIFS(FII_DII_raw_synthetic_Jan_Jun2026[Net_Flow_Cr], FII_DII_raw_synthetic_Jan_Jun2026[Date], $A55, FII_DII_raw_synthetic_Jan_Jun2026[Entity_Type], "FII", FII_DII_raw_synthetic_Jan_Jun2026[Sector], P$1)</f>
        <v>0</v>
      </c>
      <c r="Q55" s="23" cm="1">
        <f t="array" ref="Q55">SUMPRODUCT(ABS(G55:P55))</f>
        <v>2815.89</v>
      </c>
      <c r="R55" s="23" cm="1">
        <f t="array" ref="R55">LARGE(ABS(G55:P55),1)+LARGE(ABS(G55:P55),2)</f>
        <v>1797.88</v>
      </c>
      <c r="S55" s="25">
        <f t="shared" si="1"/>
        <v>0.63847664503940149</v>
      </c>
      <c r="T55" s="23">
        <f>IFERROR(_xlfn.XLOOKUP(A55, 'Nifty 50 Historical Data'!A:A, 'Nifty 50 Historical Data'!G:G), "")</f>
        <v>0.74</v>
      </c>
      <c r="W55" t="str">
        <f t="shared" si="2"/>
        <v>Strong FII Selling</v>
      </c>
      <c r="Y55">
        <f t="shared" si="3"/>
        <v>12</v>
      </c>
    </row>
    <row r="56" spans="1:25">
      <c r="A56" s="24">
        <v>46099</v>
      </c>
      <c r="B56" s="23">
        <f>SUMIFS(FII_DII_raw_synthetic_Jan_Jun2026[Net_Flow_Cr], FII_DII_raw_synthetic_Jan_Jun2026[Date], A56, FII_DII_raw_synthetic_Jan_Jun2026[Entity_Type], "FII")</f>
        <v>-857.15000000000009</v>
      </c>
      <c r="C56" s="23">
        <f>SUMIFS(FII_DII_raw_synthetic_Jan_Jun2026[Net_Flow_Cr], FII_DII_raw_synthetic_Jan_Jun2026[Date], A56, FII_DII_raw_synthetic_Jan_Jun2026[Entity_Type], "DII")</f>
        <v>1074.08</v>
      </c>
      <c r="D56" s="23">
        <f t="shared" ref="D56:E56" si="56">AVERAGE(B52:B56)</f>
        <v>-563.83799999999997</v>
      </c>
      <c r="E56" s="23">
        <f t="shared" si="56"/>
        <v>-84.855999999999952</v>
      </c>
      <c r="F56" s="23">
        <f t="shared" si="0"/>
        <v>-216.92999999999984</v>
      </c>
      <c r="G56" s="23">
        <f>SUMIFS(FII_DII_raw_synthetic_Jan_Jun2026[Net_Flow_Cr], FII_DII_raw_synthetic_Jan_Jun2026[Date], $A56, FII_DII_raw_synthetic_Jan_Jun2026[Entity_Type], "FII", FII_DII_raw_synthetic_Jan_Jun2026[Sector], G$1)</f>
        <v>0</v>
      </c>
      <c r="H56" s="23">
        <f>SUMIFS(FII_DII_raw_synthetic_Jan_Jun2026[Net_Flow_Cr], FII_DII_raw_synthetic_Jan_Jun2026[Date], $A56, FII_DII_raw_synthetic_Jan_Jun2026[Entity_Type], "FII", FII_DII_raw_synthetic_Jan_Jun2026[Sector], H$1)</f>
        <v>-673.65</v>
      </c>
      <c r="I56" s="23">
        <f>SUMIFS(FII_DII_raw_synthetic_Jan_Jun2026[Net_Flow_Cr], FII_DII_raw_synthetic_Jan_Jun2026[Date], $A56, FII_DII_raw_synthetic_Jan_Jun2026[Entity_Type], "FII", FII_DII_raw_synthetic_Jan_Jun2026[Sector], I$1)</f>
        <v>0</v>
      </c>
      <c r="J56" s="23">
        <f>SUMIFS(FII_DII_raw_synthetic_Jan_Jun2026[Net_Flow_Cr], FII_DII_raw_synthetic_Jan_Jun2026[Date], $A56, FII_DII_raw_synthetic_Jan_Jun2026[Entity_Type], "FII", FII_DII_raw_synthetic_Jan_Jun2026[Sector], J$1)</f>
        <v>-826.96</v>
      </c>
      <c r="K56" s="23">
        <f>SUMIFS(FII_DII_raw_synthetic_Jan_Jun2026[Net_Flow_Cr], FII_DII_raw_synthetic_Jan_Jun2026[Date], $A56, FII_DII_raw_synthetic_Jan_Jun2026[Entity_Type], "FII", FII_DII_raw_synthetic_Jan_Jun2026[Sector], K$1)</f>
        <v>0</v>
      </c>
      <c r="L56" s="23">
        <f>SUMIFS(FII_DII_raw_synthetic_Jan_Jun2026[Net_Flow_Cr], FII_DII_raw_synthetic_Jan_Jun2026[Date], $A56, FII_DII_raw_synthetic_Jan_Jun2026[Entity_Type], "FII", FII_DII_raw_synthetic_Jan_Jun2026[Sector], L$1)</f>
        <v>0</v>
      </c>
      <c r="M56" s="23">
        <f>SUMIFS(FII_DII_raw_synthetic_Jan_Jun2026[Net_Flow_Cr], FII_DII_raw_synthetic_Jan_Jun2026[Date], $A56, FII_DII_raw_synthetic_Jan_Jun2026[Entity_Type], "FII", FII_DII_raw_synthetic_Jan_Jun2026[Sector], M$1)</f>
        <v>0</v>
      </c>
      <c r="N56" s="23">
        <f>SUMIFS(FII_DII_raw_synthetic_Jan_Jun2026[Net_Flow_Cr], FII_DII_raw_synthetic_Jan_Jun2026[Date], $A56, FII_DII_raw_synthetic_Jan_Jun2026[Entity_Type], "FII", FII_DII_raw_synthetic_Jan_Jun2026[Sector], N$1)</f>
        <v>0</v>
      </c>
      <c r="O56" s="23">
        <f>SUMIFS(FII_DII_raw_synthetic_Jan_Jun2026[Net_Flow_Cr], FII_DII_raw_synthetic_Jan_Jun2026[Date], $A56, FII_DII_raw_synthetic_Jan_Jun2026[Entity_Type], "FII", FII_DII_raw_synthetic_Jan_Jun2026[Sector], O$1)</f>
        <v>0</v>
      </c>
      <c r="P56" s="23">
        <f>SUMIFS(FII_DII_raw_synthetic_Jan_Jun2026[Net_Flow_Cr], FII_DII_raw_synthetic_Jan_Jun2026[Date], $A56, FII_DII_raw_synthetic_Jan_Jun2026[Entity_Type], "FII", FII_DII_raw_synthetic_Jan_Jun2026[Sector], P$1)</f>
        <v>643.46</v>
      </c>
      <c r="Q56" s="23" cm="1">
        <f t="array" ref="Q56">SUMPRODUCT(ABS(G56:P56))</f>
        <v>2144.0700000000002</v>
      </c>
      <c r="R56" s="23" cm="1">
        <f t="array" ref="R56">LARGE(ABS(G56:P56),1)+LARGE(ABS(G56:P56),2)</f>
        <v>1500.6100000000001</v>
      </c>
      <c r="S56" s="25">
        <f t="shared" si="1"/>
        <v>0.69988852975882321</v>
      </c>
      <c r="T56" s="23">
        <f>IFERROR(_xlfn.XLOOKUP(A56, 'Nifty 50 Historical Data'!A:A, 'Nifty 50 Historical Data'!G:G), "")</f>
        <v>0.83</v>
      </c>
      <c r="W56" t="str">
        <f t="shared" si="2"/>
        <v>Divergent Flow</v>
      </c>
      <c r="Y56">
        <f t="shared" si="3"/>
        <v>12</v>
      </c>
    </row>
    <row r="57" spans="1:25">
      <c r="A57" s="24">
        <v>46100</v>
      </c>
      <c r="B57" s="23">
        <f>SUMIFS(FII_DII_raw_synthetic_Jan_Jun2026[Net_Flow_Cr], FII_DII_raw_synthetic_Jan_Jun2026[Date], A57, FII_DII_raw_synthetic_Jan_Jun2026[Entity_Type], "FII")</f>
        <v>201.79000000000019</v>
      </c>
      <c r="C57" s="23">
        <f>SUMIFS(FII_DII_raw_synthetic_Jan_Jun2026[Net_Flow_Cr], FII_DII_raw_synthetic_Jan_Jun2026[Date], A57, FII_DII_raw_synthetic_Jan_Jun2026[Entity_Type], "DII")</f>
        <v>2579.0699999999997</v>
      </c>
      <c r="D57" s="23">
        <f t="shared" ref="D57:E57" si="57">AVERAGE(B53:B57)</f>
        <v>-866.65800000000002</v>
      </c>
      <c r="E57" s="23">
        <f t="shared" si="57"/>
        <v>292.358</v>
      </c>
      <c r="F57" s="23">
        <f t="shared" si="0"/>
        <v>-2377.2799999999997</v>
      </c>
      <c r="G57" s="23">
        <f>SUMIFS(FII_DII_raw_synthetic_Jan_Jun2026[Net_Flow_Cr], FII_DII_raw_synthetic_Jan_Jun2026[Date], $A57, FII_DII_raw_synthetic_Jan_Jun2026[Entity_Type], "FII", FII_DII_raw_synthetic_Jan_Jun2026[Sector], G$1)</f>
        <v>0</v>
      </c>
      <c r="H57" s="23">
        <f>SUMIFS(FII_DII_raw_synthetic_Jan_Jun2026[Net_Flow_Cr], FII_DII_raw_synthetic_Jan_Jun2026[Date], $A57, FII_DII_raw_synthetic_Jan_Jun2026[Entity_Type], "FII", FII_DII_raw_synthetic_Jan_Jun2026[Sector], H$1)</f>
        <v>0</v>
      </c>
      <c r="I57" s="23">
        <f>SUMIFS(FII_DII_raw_synthetic_Jan_Jun2026[Net_Flow_Cr], FII_DII_raw_synthetic_Jan_Jun2026[Date], $A57, FII_DII_raw_synthetic_Jan_Jun2026[Entity_Type], "FII", FII_DII_raw_synthetic_Jan_Jun2026[Sector], I$1)</f>
        <v>1074.68</v>
      </c>
      <c r="J57" s="23">
        <f>SUMIFS(FII_DII_raw_synthetic_Jan_Jun2026[Net_Flow_Cr], FII_DII_raw_synthetic_Jan_Jun2026[Date], $A57, FII_DII_raw_synthetic_Jan_Jun2026[Entity_Type], "FII", FII_DII_raw_synthetic_Jan_Jun2026[Sector], J$1)</f>
        <v>72.22</v>
      </c>
      <c r="K57" s="23">
        <f>SUMIFS(FII_DII_raw_synthetic_Jan_Jun2026[Net_Flow_Cr], FII_DII_raw_synthetic_Jan_Jun2026[Date], $A57, FII_DII_raw_synthetic_Jan_Jun2026[Entity_Type], "FII", FII_DII_raw_synthetic_Jan_Jun2026[Sector], K$1)</f>
        <v>-1623.35</v>
      </c>
      <c r="L57" s="23">
        <f>SUMIFS(FII_DII_raw_synthetic_Jan_Jun2026[Net_Flow_Cr], FII_DII_raw_synthetic_Jan_Jun2026[Date], $A57, FII_DII_raw_synthetic_Jan_Jun2026[Entity_Type], "FII", FII_DII_raw_synthetic_Jan_Jun2026[Sector], L$1)</f>
        <v>0</v>
      </c>
      <c r="M57" s="23">
        <f>SUMIFS(FII_DII_raw_synthetic_Jan_Jun2026[Net_Flow_Cr], FII_DII_raw_synthetic_Jan_Jun2026[Date], $A57, FII_DII_raw_synthetic_Jan_Jun2026[Entity_Type], "FII", FII_DII_raw_synthetic_Jan_Jun2026[Sector], M$1)</f>
        <v>0</v>
      </c>
      <c r="N57" s="23">
        <f>SUMIFS(FII_DII_raw_synthetic_Jan_Jun2026[Net_Flow_Cr], FII_DII_raw_synthetic_Jan_Jun2026[Date], $A57, FII_DII_raw_synthetic_Jan_Jun2026[Entity_Type], "FII", FII_DII_raw_synthetic_Jan_Jun2026[Sector], N$1)</f>
        <v>0</v>
      </c>
      <c r="O57" s="23">
        <f>SUMIFS(FII_DII_raw_synthetic_Jan_Jun2026[Net_Flow_Cr], FII_DII_raw_synthetic_Jan_Jun2026[Date], $A57, FII_DII_raw_synthetic_Jan_Jun2026[Entity_Type], "FII", FII_DII_raw_synthetic_Jan_Jun2026[Sector], O$1)</f>
        <v>0</v>
      </c>
      <c r="P57" s="23">
        <f>SUMIFS(FII_DII_raw_synthetic_Jan_Jun2026[Net_Flow_Cr], FII_DII_raw_synthetic_Jan_Jun2026[Date], $A57, FII_DII_raw_synthetic_Jan_Jun2026[Entity_Type], "FII", FII_DII_raw_synthetic_Jan_Jun2026[Sector], P$1)</f>
        <v>678.24</v>
      </c>
      <c r="Q57" s="23" cm="1">
        <f t="array" ref="Q57">SUMPRODUCT(ABS(G57:P57))</f>
        <v>3448.49</v>
      </c>
      <c r="R57" s="23" cm="1">
        <f t="array" ref="R57">LARGE(ABS(G57:P57),1)+LARGE(ABS(G57:P57),2)</f>
        <v>2698.0299999999997</v>
      </c>
      <c r="S57" s="25">
        <f t="shared" si="1"/>
        <v>0.78238011419490849</v>
      </c>
      <c r="T57" s="23">
        <f>IFERROR(_xlfn.XLOOKUP(A57, 'Nifty 50 Historical Data'!A:A, 'Nifty 50 Historical Data'!G:G), "")</f>
        <v>-3.26</v>
      </c>
      <c r="W57" t="str">
        <f t="shared" si="2"/>
        <v>Aligned Flow</v>
      </c>
      <c r="Y57">
        <f t="shared" si="3"/>
        <v>12</v>
      </c>
    </row>
    <row r="58" spans="1:25">
      <c r="A58" s="24">
        <v>46101</v>
      </c>
      <c r="B58" s="23">
        <f>SUMIFS(FII_DII_raw_synthetic_Jan_Jun2026[Net_Flow_Cr], FII_DII_raw_synthetic_Jan_Jun2026[Date], A58, FII_DII_raw_synthetic_Jan_Jun2026[Entity_Type], "FII")</f>
        <v>-2869.5000000000005</v>
      </c>
      <c r="C58" s="23">
        <f>SUMIFS(FII_DII_raw_synthetic_Jan_Jun2026[Net_Flow_Cr], FII_DII_raw_synthetic_Jan_Jun2026[Date], A58, FII_DII_raw_synthetic_Jan_Jun2026[Entity_Type], "DII")</f>
        <v>1680.5099999999998</v>
      </c>
      <c r="D58" s="23">
        <f t="shared" ref="D58:E58" si="58">AVERAGE(B54:B58)</f>
        <v>-1846.846</v>
      </c>
      <c r="E58" s="23">
        <f t="shared" si="58"/>
        <v>189.69799999999987</v>
      </c>
      <c r="F58" s="23">
        <f t="shared" si="0"/>
        <v>1188.9900000000007</v>
      </c>
      <c r="G58" s="23">
        <f>SUMIFS(FII_DII_raw_synthetic_Jan_Jun2026[Net_Flow_Cr], FII_DII_raw_synthetic_Jan_Jun2026[Date], $A58, FII_DII_raw_synthetic_Jan_Jun2026[Entity_Type], "FII", FII_DII_raw_synthetic_Jan_Jun2026[Sector], G$1)</f>
        <v>169.06</v>
      </c>
      <c r="H58" s="23">
        <f>SUMIFS(FII_DII_raw_synthetic_Jan_Jun2026[Net_Flow_Cr], FII_DII_raw_synthetic_Jan_Jun2026[Date], $A58, FII_DII_raw_synthetic_Jan_Jun2026[Entity_Type], "FII", FII_DII_raw_synthetic_Jan_Jun2026[Sector], H$1)</f>
        <v>0</v>
      </c>
      <c r="I58" s="23">
        <f>SUMIFS(FII_DII_raw_synthetic_Jan_Jun2026[Net_Flow_Cr], FII_DII_raw_synthetic_Jan_Jun2026[Date], $A58, FII_DII_raw_synthetic_Jan_Jun2026[Entity_Type], "FII", FII_DII_raw_synthetic_Jan_Jun2026[Sector], I$1)</f>
        <v>0</v>
      </c>
      <c r="J58" s="23">
        <f>SUMIFS(FII_DII_raw_synthetic_Jan_Jun2026[Net_Flow_Cr], FII_DII_raw_synthetic_Jan_Jun2026[Date], $A58, FII_DII_raw_synthetic_Jan_Jun2026[Entity_Type], "FII", FII_DII_raw_synthetic_Jan_Jun2026[Sector], J$1)</f>
        <v>0</v>
      </c>
      <c r="K58" s="23">
        <f>SUMIFS(FII_DII_raw_synthetic_Jan_Jun2026[Net_Flow_Cr], FII_DII_raw_synthetic_Jan_Jun2026[Date], $A58, FII_DII_raw_synthetic_Jan_Jun2026[Entity_Type], "FII", FII_DII_raw_synthetic_Jan_Jun2026[Sector], K$1)</f>
        <v>0</v>
      </c>
      <c r="L58" s="23">
        <f>SUMIFS(FII_DII_raw_synthetic_Jan_Jun2026[Net_Flow_Cr], FII_DII_raw_synthetic_Jan_Jun2026[Date], $A58, FII_DII_raw_synthetic_Jan_Jun2026[Entity_Type], "FII", FII_DII_raw_synthetic_Jan_Jun2026[Sector], L$1)</f>
        <v>0</v>
      </c>
      <c r="M58" s="23">
        <f>SUMIFS(FII_DII_raw_synthetic_Jan_Jun2026[Net_Flow_Cr], FII_DII_raw_synthetic_Jan_Jun2026[Date], $A58, FII_DII_raw_synthetic_Jan_Jun2026[Entity_Type], "FII", FII_DII_raw_synthetic_Jan_Jun2026[Sector], M$1)</f>
        <v>-1242.8800000000001</v>
      </c>
      <c r="N58" s="23">
        <f>SUMIFS(FII_DII_raw_synthetic_Jan_Jun2026[Net_Flow_Cr], FII_DII_raw_synthetic_Jan_Jun2026[Date], $A58, FII_DII_raw_synthetic_Jan_Jun2026[Entity_Type], "FII", FII_DII_raw_synthetic_Jan_Jun2026[Sector], N$1)</f>
        <v>0</v>
      </c>
      <c r="O58" s="23">
        <f>SUMIFS(FII_DII_raw_synthetic_Jan_Jun2026[Net_Flow_Cr], FII_DII_raw_synthetic_Jan_Jun2026[Date], $A58, FII_DII_raw_synthetic_Jan_Jun2026[Entity_Type], "FII", FII_DII_raw_synthetic_Jan_Jun2026[Sector], O$1)</f>
        <v>0</v>
      </c>
      <c r="P58" s="23">
        <f>SUMIFS(FII_DII_raw_synthetic_Jan_Jun2026[Net_Flow_Cr], FII_DII_raw_synthetic_Jan_Jun2026[Date], $A58, FII_DII_raw_synthetic_Jan_Jun2026[Entity_Type], "FII", FII_DII_raw_synthetic_Jan_Jun2026[Sector], P$1)</f>
        <v>-1795.68</v>
      </c>
      <c r="Q58" s="23" cm="1">
        <f t="array" ref="Q58">SUMPRODUCT(ABS(G58:P58))</f>
        <v>3207.62</v>
      </c>
      <c r="R58" s="23" cm="1">
        <f t="array" ref="R58">LARGE(ABS(G58:P58),1)+LARGE(ABS(G58:P58),2)</f>
        <v>3038.5600000000004</v>
      </c>
      <c r="S58" s="25">
        <f t="shared" si="1"/>
        <v>0.94729425555396229</v>
      </c>
      <c r="T58" s="23">
        <f>IFERROR(_xlfn.XLOOKUP(A58, 'Nifty 50 Historical Data'!A:A, 'Nifty 50 Historical Data'!G:G), "")</f>
        <v>0.49</v>
      </c>
      <c r="W58" t="str">
        <f t="shared" si="2"/>
        <v>Strong FII Selling</v>
      </c>
      <c r="Y58">
        <f t="shared" si="3"/>
        <v>12</v>
      </c>
    </row>
    <row r="59" spans="1:25">
      <c r="A59" s="24">
        <v>46104</v>
      </c>
      <c r="B59" s="23">
        <f>SUMIFS(FII_DII_raw_synthetic_Jan_Jun2026[Net_Flow_Cr], FII_DII_raw_synthetic_Jan_Jun2026[Date], A59, FII_DII_raw_synthetic_Jan_Jun2026[Entity_Type], "FII")</f>
        <v>406.62</v>
      </c>
      <c r="C59" s="23">
        <f>SUMIFS(FII_DII_raw_synthetic_Jan_Jun2026[Net_Flow_Cr], FII_DII_raw_synthetic_Jan_Jun2026[Date], A59, FII_DII_raw_synthetic_Jan_Jun2026[Entity_Type], "DII")</f>
        <v>510.03999999999996</v>
      </c>
      <c r="D59" s="23">
        <f t="shared" ref="D59:E59" si="59">AVERAGE(B55:B59)</f>
        <v>-1186.826</v>
      </c>
      <c r="E59" s="23">
        <f t="shared" si="59"/>
        <v>1028.4199999999998</v>
      </c>
      <c r="F59" s="23">
        <f t="shared" si="0"/>
        <v>-103.41999999999996</v>
      </c>
      <c r="G59" s="23">
        <f>SUMIFS(FII_DII_raw_synthetic_Jan_Jun2026[Net_Flow_Cr], FII_DII_raw_synthetic_Jan_Jun2026[Date], $A59, FII_DII_raw_synthetic_Jan_Jun2026[Entity_Type], "FII", FII_DII_raw_synthetic_Jan_Jun2026[Sector], G$1)</f>
        <v>0</v>
      </c>
      <c r="H59" s="23">
        <f>SUMIFS(FII_DII_raw_synthetic_Jan_Jun2026[Net_Flow_Cr], FII_DII_raw_synthetic_Jan_Jun2026[Date], $A59, FII_DII_raw_synthetic_Jan_Jun2026[Entity_Type], "FII", FII_DII_raw_synthetic_Jan_Jun2026[Sector], H$1)</f>
        <v>0</v>
      </c>
      <c r="I59" s="23">
        <f>SUMIFS(FII_DII_raw_synthetic_Jan_Jun2026[Net_Flow_Cr], FII_DII_raw_synthetic_Jan_Jun2026[Date], $A59, FII_DII_raw_synthetic_Jan_Jun2026[Entity_Type], "FII", FII_DII_raw_synthetic_Jan_Jun2026[Sector], I$1)</f>
        <v>0</v>
      </c>
      <c r="J59" s="23">
        <f>SUMIFS(FII_DII_raw_synthetic_Jan_Jun2026[Net_Flow_Cr], FII_DII_raw_synthetic_Jan_Jun2026[Date], $A59, FII_DII_raw_synthetic_Jan_Jun2026[Entity_Type], "FII", FII_DII_raw_synthetic_Jan_Jun2026[Sector], J$1)</f>
        <v>-733.06</v>
      </c>
      <c r="K59" s="23">
        <f>SUMIFS(FII_DII_raw_synthetic_Jan_Jun2026[Net_Flow_Cr], FII_DII_raw_synthetic_Jan_Jun2026[Date], $A59, FII_DII_raw_synthetic_Jan_Jun2026[Entity_Type], "FII", FII_DII_raw_synthetic_Jan_Jun2026[Sector], K$1)</f>
        <v>0</v>
      </c>
      <c r="L59" s="23">
        <f>SUMIFS(FII_DII_raw_synthetic_Jan_Jun2026[Net_Flow_Cr], FII_DII_raw_synthetic_Jan_Jun2026[Date], $A59, FII_DII_raw_synthetic_Jan_Jun2026[Entity_Type], "FII", FII_DII_raw_synthetic_Jan_Jun2026[Sector], L$1)</f>
        <v>-678.82</v>
      </c>
      <c r="M59" s="23">
        <f>SUMIFS(FII_DII_raw_synthetic_Jan_Jun2026[Net_Flow_Cr], FII_DII_raw_synthetic_Jan_Jun2026[Date], $A59, FII_DII_raw_synthetic_Jan_Jun2026[Entity_Type], "FII", FII_DII_raw_synthetic_Jan_Jun2026[Sector], M$1)</f>
        <v>0</v>
      </c>
      <c r="N59" s="23">
        <f>SUMIFS(FII_DII_raw_synthetic_Jan_Jun2026[Net_Flow_Cr], FII_DII_raw_synthetic_Jan_Jun2026[Date], $A59, FII_DII_raw_synthetic_Jan_Jun2026[Entity_Type], "FII", FII_DII_raw_synthetic_Jan_Jun2026[Sector], N$1)</f>
        <v>1818.5</v>
      </c>
      <c r="O59" s="23">
        <f>SUMIFS(FII_DII_raw_synthetic_Jan_Jun2026[Net_Flow_Cr], FII_DII_raw_synthetic_Jan_Jun2026[Date], $A59, FII_DII_raw_synthetic_Jan_Jun2026[Entity_Type], "FII", FII_DII_raw_synthetic_Jan_Jun2026[Sector], O$1)</f>
        <v>0</v>
      </c>
      <c r="P59" s="23">
        <f>SUMIFS(FII_DII_raw_synthetic_Jan_Jun2026[Net_Flow_Cr], FII_DII_raw_synthetic_Jan_Jun2026[Date], $A59, FII_DII_raw_synthetic_Jan_Jun2026[Entity_Type], "FII", FII_DII_raw_synthetic_Jan_Jun2026[Sector], P$1)</f>
        <v>0</v>
      </c>
      <c r="Q59" s="23" cm="1">
        <f t="array" ref="Q59">SUMPRODUCT(ABS(G59:P59))</f>
        <v>3230.38</v>
      </c>
      <c r="R59" s="23" cm="1">
        <f t="array" ref="R59">LARGE(ABS(G59:P59),1)+LARGE(ABS(G59:P59),2)</f>
        <v>2551.56</v>
      </c>
      <c r="S59" s="25">
        <f t="shared" si="1"/>
        <v>0.7898637312019019</v>
      </c>
      <c r="T59" s="23">
        <f>IFERROR(_xlfn.XLOOKUP(A59, 'Nifty 50 Historical Data'!A:A, 'Nifty 50 Historical Data'!G:G), "")</f>
        <v>-2.6</v>
      </c>
      <c r="W59" t="str">
        <f t="shared" si="2"/>
        <v>Aligned Flow</v>
      </c>
      <c r="Y59">
        <f t="shared" si="3"/>
        <v>13</v>
      </c>
    </row>
    <row r="60" spans="1:25">
      <c r="A60" s="24">
        <v>46105</v>
      </c>
      <c r="B60" s="23">
        <f>SUMIFS(FII_DII_raw_synthetic_Jan_Jun2026[Net_Flow_Cr], FII_DII_raw_synthetic_Jan_Jun2026[Date], A60, FII_DII_raw_synthetic_Jan_Jun2026[Entity_Type], "FII")</f>
        <v>3031.2</v>
      </c>
      <c r="C60" s="23">
        <f>SUMIFS(FII_DII_raw_synthetic_Jan_Jun2026[Net_Flow_Cr], FII_DII_raw_synthetic_Jan_Jun2026[Date], A60, FII_DII_raw_synthetic_Jan_Jun2026[Entity_Type], "DII")</f>
        <v>1321</v>
      </c>
      <c r="D60" s="23">
        <f t="shared" ref="D60:E60" si="60">AVERAGE(B56:B60)</f>
        <v>-17.408000000000175</v>
      </c>
      <c r="E60" s="23">
        <f t="shared" si="60"/>
        <v>1432.94</v>
      </c>
      <c r="F60" s="23">
        <f t="shared" si="0"/>
        <v>1710.1999999999998</v>
      </c>
      <c r="G60" s="23">
        <f>SUMIFS(FII_DII_raw_synthetic_Jan_Jun2026[Net_Flow_Cr], FII_DII_raw_synthetic_Jan_Jun2026[Date], $A60, FII_DII_raw_synthetic_Jan_Jun2026[Entity_Type], "FII", FII_DII_raw_synthetic_Jan_Jun2026[Sector], G$1)</f>
        <v>0</v>
      </c>
      <c r="H60" s="23">
        <f>SUMIFS(FII_DII_raw_synthetic_Jan_Jun2026[Net_Flow_Cr], FII_DII_raw_synthetic_Jan_Jun2026[Date], $A60, FII_DII_raw_synthetic_Jan_Jun2026[Entity_Type], "FII", FII_DII_raw_synthetic_Jan_Jun2026[Sector], H$1)</f>
        <v>0</v>
      </c>
      <c r="I60" s="23">
        <f>SUMIFS(FII_DII_raw_synthetic_Jan_Jun2026[Net_Flow_Cr], FII_DII_raw_synthetic_Jan_Jun2026[Date], $A60, FII_DII_raw_synthetic_Jan_Jun2026[Entity_Type], "FII", FII_DII_raw_synthetic_Jan_Jun2026[Sector], I$1)</f>
        <v>-54.14</v>
      </c>
      <c r="J60" s="23">
        <f>SUMIFS(FII_DII_raw_synthetic_Jan_Jun2026[Net_Flow_Cr], FII_DII_raw_synthetic_Jan_Jun2026[Date], $A60, FII_DII_raw_synthetic_Jan_Jun2026[Entity_Type], "FII", FII_DII_raw_synthetic_Jan_Jun2026[Sector], J$1)</f>
        <v>1841.02</v>
      </c>
      <c r="K60" s="23">
        <f>SUMIFS(FII_DII_raw_synthetic_Jan_Jun2026[Net_Flow_Cr], FII_DII_raw_synthetic_Jan_Jun2026[Date], $A60, FII_DII_raw_synthetic_Jan_Jun2026[Entity_Type], "FII", FII_DII_raw_synthetic_Jan_Jun2026[Sector], K$1)</f>
        <v>0</v>
      </c>
      <c r="L60" s="23">
        <f>SUMIFS(FII_DII_raw_synthetic_Jan_Jun2026[Net_Flow_Cr], FII_DII_raw_synthetic_Jan_Jun2026[Date], $A60, FII_DII_raw_synthetic_Jan_Jun2026[Entity_Type], "FII", FII_DII_raw_synthetic_Jan_Jun2026[Sector], L$1)</f>
        <v>0</v>
      </c>
      <c r="M60" s="23">
        <f>SUMIFS(FII_DII_raw_synthetic_Jan_Jun2026[Net_Flow_Cr], FII_DII_raw_synthetic_Jan_Jun2026[Date], $A60, FII_DII_raw_synthetic_Jan_Jun2026[Entity_Type], "FII", FII_DII_raw_synthetic_Jan_Jun2026[Sector], M$1)</f>
        <v>1244.32</v>
      </c>
      <c r="N60" s="23">
        <f>SUMIFS(FII_DII_raw_synthetic_Jan_Jun2026[Net_Flow_Cr], FII_DII_raw_synthetic_Jan_Jun2026[Date], $A60, FII_DII_raw_synthetic_Jan_Jun2026[Entity_Type], "FII", FII_DII_raw_synthetic_Jan_Jun2026[Sector], N$1)</f>
        <v>0</v>
      </c>
      <c r="O60" s="23">
        <f>SUMIFS(FII_DII_raw_synthetic_Jan_Jun2026[Net_Flow_Cr], FII_DII_raw_synthetic_Jan_Jun2026[Date], $A60, FII_DII_raw_synthetic_Jan_Jun2026[Entity_Type], "FII", FII_DII_raw_synthetic_Jan_Jun2026[Sector], O$1)</f>
        <v>0</v>
      </c>
      <c r="P60" s="23">
        <f>SUMIFS(FII_DII_raw_synthetic_Jan_Jun2026[Net_Flow_Cr], FII_DII_raw_synthetic_Jan_Jun2026[Date], $A60, FII_DII_raw_synthetic_Jan_Jun2026[Entity_Type], "FII", FII_DII_raw_synthetic_Jan_Jun2026[Sector], P$1)</f>
        <v>0</v>
      </c>
      <c r="Q60" s="23" cm="1">
        <f t="array" ref="Q60">SUMPRODUCT(ABS(G60:P60))</f>
        <v>3139.48</v>
      </c>
      <c r="R60" s="23" cm="1">
        <f t="array" ref="R60">LARGE(ABS(G60:P60),1)+LARGE(ABS(G60:P60),2)</f>
        <v>3085.34</v>
      </c>
      <c r="S60" s="25">
        <f t="shared" si="1"/>
        <v>0.98275510594111126</v>
      </c>
      <c r="T60" s="23">
        <f>IFERROR(_xlfn.XLOOKUP(A60, 'Nifty 50 Historical Data'!A:A, 'Nifty 50 Historical Data'!G:G), "")</f>
        <v>1.78</v>
      </c>
      <c r="W60" t="str">
        <f t="shared" si="2"/>
        <v>Strong FII Buying</v>
      </c>
      <c r="Y60">
        <f t="shared" si="3"/>
        <v>13</v>
      </c>
    </row>
    <row r="61" spans="1:25">
      <c r="A61" s="24">
        <v>46106</v>
      </c>
      <c r="B61" s="23">
        <f>SUMIFS(FII_DII_raw_synthetic_Jan_Jun2026[Net_Flow_Cr], FII_DII_raw_synthetic_Jan_Jun2026[Date], A61, FII_DII_raw_synthetic_Jan_Jun2026[Entity_Type], "FII")</f>
        <v>-346.42999999999989</v>
      </c>
      <c r="C61" s="23">
        <f>SUMIFS(FII_DII_raw_synthetic_Jan_Jun2026[Net_Flow_Cr], FII_DII_raw_synthetic_Jan_Jun2026[Date], A61, FII_DII_raw_synthetic_Jan_Jun2026[Entity_Type], "DII")</f>
        <v>-1773.7600000000002</v>
      </c>
      <c r="D61" s="23">
        <f t="shared" ref="D61:E61" si="61">AVERAGE(B57:B61)</f>
        <v>84.735999999999962</v>
      </c>
      <c r="E61" s="23">
        <f t="shared" si="61"/>
        <v>863.37199999999996</v>
      </c>
      <c r="F61" s="23">
        <f t="shared" si="0"/>
        <v>-1427.3300000000004</v>
      </c>
      <c r="G61" s="23">
        <f>SUMIFS(FII_DII_raw_synthetic_Jan_Jun2026[Net_Flow_Cr], FII_DII_raw_synthetic_Jan_Jun2026[Date], $A61, FII_DII_raw_synthetic_Jan_Jun2026[Entity_Type], "FII", FII_DII_raw_synthetic_Jan_Jun2026[Sector], G$1)</f>
        <v>0</v>
      </c>
      <c r="H61" s="23">
        <f>SUMIFS(FII_DII_raw_synthetic_Jan_Jun2026[Net_Flow_Cr], FII_DII_raw_synthetic_Jan_Jun2026[Date], $A61, FII_DII_raw_synthetic_Jan_Jun2026[Entity_Type], "FII", FII_DII_raw_synthetic_Jan_Jun2026[Sector], H$1)</f>
        <v>741.5</v>
      </c>
      <c r="I61" s="23">
        <f>SUMIFS(FII_DII_raw_synthetic_Jan_Jun2026[Net_Flow_Cr], FII_DII_raw_synthetic_Jan_Jun2026[Date], $A61, FII_DII_raw_synthetic_Jan_Jun2026[Entity_Type], "FII", FII_DII_raw_synthetic_Jan_Jun2026[Sector], I$1)</f>
        <v>0</v>
      </c>
      <c r="J61" s="23">
        <f>SUMIFS(FII_DII_raw_synthetic_Jan_Jun2026[Net_Flow_Cr], FII_DII_raw_synthetic_Jan_Jun2026[Date], $A61, FII_DII_raw_synthetic_Jan_Jun2026[Entity_Type], "FII", FII_DII_raw_synthetic_Jan_Jun2026[Sector], J$1)</f>
        <v>0</v>
      </c>
      <c r="K61" s="23">
        <f>SUMIFS(FII_DII_raw_synthetic_Jan_Jun2026[Net_Flow_Cr], FII_DII_raw_synthetic_Jan_Jun2026[Date], $A61, FII_DII_raw_synthetic_Jan_Jun2026[Entity_Type], "FII", FII_DII_raw_synthetic_Jan_Jun2026[Sector], K$1)</f>
        <v>0</v>
      </c>
      <c r="L61" s="23">
        <f>SUMIFS(FII_DII_raw_synthetic_Jan_Jun2026[Net_Flow_Cr], FII_DII_raw_synthetic_Jan_Jun2026[Date], $A61, FII_DII_raw_synthetic_Jan_Jun2026[Entity_Type], "FII", FII_DII_raw_synthetic_Jan_Jun2026[Sector], L$1)</f>
        <v>141.19</v>
      </c>
      <c r="M61" s="23">
        <f>SUMIFS(FII_DII_raw_synthetic_Jan_Jun2026[Net_Flow_Cr], FII_DII_raw_synthetic_Jan_Jun2026[Date], $A61, FII_DII_raw_synthetic_Jan_Jun2026[Entity_Type], "FII", FII_DII_raw_synthetic_Jan_Jun2026[Sector], M$1)</f>
        <v>0</v>
      </c>
      <c r="N61" s="23">
        <f>SUMIFS(FII_DII_raw_synthetic_Jan_Jun2026[Net_Flow_Cr], FII_DII_raw_synthetic_Jan_Jun2026[Date], $A61, FII_DII_raw_synthetic_Jan_Jun2026[Entity_Type], "FII", FII_DII_raw_synthetic_Jan_Jun2026[Sector], N$1)</f>
        <v>-1229.1199999999999</v>
      </c>
      <c r="O61" s="23">
        <f>SUMIFS(FII_DII_raw_synthetic_Jan_Jun2026[Net_Flow_Cr], FII_DII_raw_synthetic_Jan_Jun2026[Date], $A61, FII_DII_raw_synthetic_Jan_Jun2026[Entity_Type], "FII", FII_DII_raw_synthetic_Jan_Jun2026[Sector], O$1)</f>
        <v>0</v>
      </c>
      <c r="P61" s="23">
        <f>SUMIFS(FII_DII_raw_synthetic_Jan_Jun2026[Net_Flow_Cr], FII_DII_raw_synthetic_Jan_Jun2026[Date], $A61, FII_DII_raw_synthetic_Jan_Jun2026[Entity_Type], "FII", FII_DII_raw_synthetic_Jan_Jun2026[Sector], P$1)</f>
        <v>0</v>
      </c>
      <c r="Q61" s="23" cm="1">
        <f t="array" ref="Q61">SUMPRODUCT(ABS(G61:P61))</f>
        <v>2111.81</v>
      </c>
      <c r="R61" s="23" cm="1">
        <f t="array" ref="R61">LARGE(ABS(G61:P61),1)+LARGE(ABS(G61:P61),2)</f>
        <v>1970.62</v>
      </c>
      <c r="S61" s="25">
        <f t="shared" si="1"/>
        <v>0.93314265961426446</v>
      </c>
      <c r="T61" s="23">
        <f>IFERROR(_xlfn.XLOOKUP(A61, 'Nifty 50 Historical Data'!A:A, 'Nifty 50 Historical Data'!G:G), "")</f>
        <v>1.72</v>
      </c>
      <c r="W61" t="str">
        <f t="shared" si="2"/>
        <v>Aligned Flow</v>
      </c>
      <c r="Y61">
        <f t="shared" si="3"/>
        <v>13</v>
      </c>
    </row>
    <row r="62" spans="1:25">
      <c r="A62" s="24">
        <v>46107</v>
      </c>
      <c r="B62" s="23">
        <f>SUMIFS(FII_DII_raw_synthetic_Jan_Jun2026[Net_Flow_Cr], FII_DII_raw_synthetic_Jan_Jun2026[Date], A62, FII_DII_raw_synthetic_Jan_Jun2026[Entity_Type], "FII")</f>
        <v>-1181.76</v>
      </c>
      <c r="C62" s="23">
        <f>SUMIFS(FII_DII_raw_synthetic_Jan_Jun2026[Net_Flow_Cr], FII_DII_raw_synthetic_Jan_Jun2026[Date], A62, FII_DII_raw_synthetic_Jan_Jun2026[Entity_Type], "DII")</f>
        <v>-3565.34</v>
      </c>
      <c r="D62" s="23">
        <f t="shared" ref="D62:E62" si="62">AVERAGE(B58:B62)</f>
        <v>-191.9740000000001</v>
      </c>
      <c r="E62" s="23">
        <f t="shared" si="62"/>
        <v>-365.5100000000001</v>
      </c>
      <c r="F62" s="23">
        <f t="shared" si="0"/>
        <v>-2383.58</v>
      </c>
      <c r="G62" s="23">
        <f>SUMIFS(FII_DII_raw_synthetic_Jan_Jun2026[Net_Flow_Cr], FII_DII_raw_synthetic_Jan_Jun2026[Date], $A62, FII_DII_raw_synthetic_Jan_Jun2026[Entity_Type], "FII", FII_DII_raw_synthetic_Jan_Jun2026[Sector], G$1)</f>
        <v>0</v>
      </c>
      <c r="H62" s="23">
        <f>SUMIFS(FII_DII_raw_synthetic_Jan_Jun2026[Net_Flow_Cr], FII_DII_raw_synthetic_Jan_Jun2026[Date], $A62, FII_DII_raw_synthetic_Jan_Jun2026[Entity_Type], "FII", FII_DII_raw_synthetic_Jan_Jun2026[Sector], H$1)</f>
        <v>-870.07</v>
      </c>
      <c r="I62" s="23">
        <f>SUMIFS(FII_DII_raw_synthetic_Jan_Jun2026[Net_Flow_Cr], FII_DII_raw_synthetic_Jan_Jun2026[Date], $A62, FII_DII_raw_synthetic_Jan_Jun2026[Entity_Type], "FII", FII_DII_raw_synthetic_Jan_Jun2026[Sector], I$1)</f>
        <v>0</v>
      </c>
      <c r="J62" s="23">
        <f>SUMIFS(FII_DII_raw_synthetic_Jan_Jun2026[Net_Flow_Cr], FII_DII_raw_synthetic_Jan_Jun2026[Date], $A62, FII_DII_raw_synthetic_Jan_Jun2026[Entity_Type], "FII", FII_DII_raw_synthetic_Jan_Jun2026[Sector], J$1)</f>
        <v>0</v>
      </c>
      <c r="K62" s="23">
        <f>SUMIFS(FII_DII_raw_synthetic_Jan_Jun2026[Net_Flow_Cr], FII_DII_raw_synthetic_Jan_Jun2026[Date], $A62, FII_DII_raw_synthetic_Jan_Jun2026[Entity_Type], "FII", FII_DII_raw_synthetic_Jan_Jun2026[Sector], K$1)</f>
        <v>0</v>
      </c>
      <c r="L62" s="23">
        <f>SUMIFS(FII_DII_raw_synthetic_Jan_Jun2026[Net_Flow_Cr], FII_DII_raw_synthetic_Jan_Jun2026[Date], $A62, FII_DII_raw_synthetic_Jan_Jun2026[Entity_Type], "FII", FII_DII_raw_synthetic_Jan_Jun2026[Sector], L$1)</f>
        <v>0</v>
      </c>
      <c r="M62" s="23">
        <f>SUMIFS(FII_DII_raw_synthetic_Jan_Jun2026[Net_Flow_Cr], FII_DII_raw_synthetic_Jan_Jun2026[Date], $A62, FII_DII_raw_synthetic_Jan_Jun2026[Entity_Type], "FII", FII_DII_raw_synthetic_Jan_Jun2026[Sector], M$1)</f>
        <v>-1316.72</v>
      </c>
      <c r="N62" s="23">
        <f>SUMIFS(FII_DII_raw_synthetic_Jan_Jun2026[Net_Flow_Cr], FII_DII_raw_synthetic_Jan_Jun2026[Date], $A62, FII_DII_raw_synthetic_Jan_Jun2026[Entity_Type], "FII", FII_DII_raw_synthetic_Jan_Jun2026[Sector], N$1)</f>
        <v>1005.03</v>
      </c>
      <c r="O62" s="23">
        <f>SUMIFS(FII_DII_raw_synthetic_Jan_Jun2026[Net_Flow_Cr], FII_DII_raw_synthetic_Jan_Jun2026[Date], $A62, FII_DII_raw_synthetic_Jan_Jun2026[Entity_Type], "FII", FII_DII_raw_synthetic_Jan_Jun2026[Sector], O$1)</f>
        <v>0</v>
      </c>
      <c r="P62" s="23">
        <f>SUMIFS(FII_DII_raw_synthetic_Jan_Jun2026[Net_Flow_Cr], FII_DII_raw_synthetic_Jan_Jun2026[Date], $A62, FII_DII_raw_synthetic_Jan_Jun2026[Entity_Type], "FII", FII_DII_raw_synthetic_Jan_Jun2026[Sector], P$1)</f>
        <v>0</v>
      </c>
      <c r="Q62" s="23" cm="1">
        <f t="array" ref="Q62">SUMPRODUCT(ABS(G62:P62))</f>
        <v>3191.8199999999997</v>
      </c>
      <c r="R62" s="23" cm="1">
        <f t="array" ref="R62">LARGE(ABS(G62:P62),1)+LARGE(ABS(G62:P62),2)</f>
        <v>2321.75</v>
      </c>
      <c r="S62" s="25">
        <f t="shared" si="1"/>
        <v>0.72740630737322287</v>
      </c>
      <c r="T62" s="23" t="str">
        <f>IFERROR(_xlfn.XLOOKUP(A62, 'Nifty 50 Historical Data'!A:A, 'Nifty 50 Historical Data'!G:G), "")</f>
        <v/>
      </c>
      <c r="W62" t="str">
        <f t="shared" si="2"/>
        <v>Aligned Flow</v>
      </c>
      <c r="Y62">
        <f t="shared" si="3"/>
        <v>13</v>
      </c>
    </row>
    <row r="63" spans="1:25">
      <c r="A63" s="24">
        <v>46108</v>
      </c>
      <c r="B63" s="23">
        <f>SUMIFS(FII_DII_raw_synthetic_Jan_Jun2026[Net_Flow_Cr], FII_DII_raw_synthetic_Jan_Jun2026[Date], A63, FII_DII_raw_synthetic_Jan_Jun2026[Entity_Type], "FII")</f>
        <v>457.11</v>
      </c>
      <c r="C63" s="23">
        <f>SUMIFS(FII_DII_raw_synthetic_Jan_Jun2026[Net_Flow_Cr], FII_DII_raw_synthetic_Jan_Jun2026[Date], A63, FII_DII_raw_synthetic_Jan_Jun2026[Entity_Type], "DII")</f>
        <v>773.81000000000006</v>
      </c>
      <c r="D63" s="23">
        <f t="shared" ref="D63:E63" si="63">AVERAGE(B59:B63)</f>
        <v>473.34799999999996</v>
      </c>
      <c r="E63" s="23">
        <f t="shared" si="63"/>
        <v>-546.85000000000014</v>
      </c>
      <c r="F63" s="23">
        <f t="shared" si="0"/>
        <v>-316.70000000000005</v>
      </c>
      <c r="G63" s="23">
        <f>SUMIFS(FII_DII_raw_synthetic_Jan_Jun2026[Net_Flow_Cr], FII_DII_raw_synthetic_Jan_Jun2026[Date], $A63, FII_DII_raw_synthetic_Jan_Jun2026[Entity_Type], "FII", FII_DII_raw_synthetic_Jan_Jun2026[Sector], G$1)</f>
        <v>0</v>
      </c>
      <c r="H63" s="23">
        <f>SUMIFS(FII_DII_raw_synthetic_Jan_Jun2026[Net_Flow_Cr], FII_DII_raw_synthetic_Jan_Jun2026[Date], $A63, FII_DII_raw_synthetic_Jan_Jun2026[Entity_Type], "FII", FII_DII_raw_synthetic_Jan_Jun2026[Sector], H$1)</f>
        <v>372.01</v>
      </c>
      <c r="I63" s="23">
        <f>SUMIFS(FII_DII_raw_synthetic_Jan_Jun2026[Net_Flow_Cr], FII_DII_raw_synthetic_Jan_Jun2026[Date], $A63, FII_DII_raw_synthetic_Jan_Jun2026[Entity_Type], "FII", FII_DII_raw_synthetic_Jan_Jun2026[Sector], I$1)</f>
        <v>0</v>
      </c>
      <c r="J63" s="23">
        <f>SUMIFS(FII_DII_raw_synthetic_Jan_Jun2026[Net_Flow_Cr], FII_DII_raw_synthetic_Jan_Jun2026[Date], $A63, FII_DII_raw_synthetic_Jan_Jun2026[Entity_Type], "FII", FII_DII_raw_synthetic_Jan_Jun2026[Sector], J$1)</f>
        <v>0</v>
      </c>
      <c r="K63" s="23">
        <f>SUMIFS(FII_DII_raw_synthetic_Jan_Jun2026[Net_Flow_Cr], FII_DII_raw_synthetic_Jan_Jun2026[Date], $A63, FII_DII_raw_synthetic_Jan_Jun2026[Entity_Type], "FII", FII_DII_raw_synthetic_Jan_Jun2026[Sector], K$1)</f>
        <v>-54.51</v>
      </c>
      <c r="L63" s="23">
        <f>SUMIFS(FII_DII_raw_synthetic_Jan_Jun2026[Net_Flow_Cr], FII_DII_raw_synthetic_Jan_Jun2026[Date], $A63, FII_DII_raw_synthetic_Jan_Jun2026[Entity_Type], "FII", FII_DII_raw_synthetic_Jan_Jun2026[Sector], L$1)</f>
        <v>0</v>
      </c>
      <c r="M63" s="23">
        <f>SUMIFS(FII_DII_raw_synthetic_Jan_Jun2026[Net_Flow_Cr], FII_DII_raw_synthetic_Jan_Jun2026[Date], $A63, FII_DII_raw_synthetic_Jan_Jun2026[Entity_Type], "FII", FII_DII_raw_synthetic_Jan_Jun2026[Sector], M$1)</f>
        <v>0</v>
      </c>
      <c r="N63" s="23">
        <f>SUMIFS(FII_DII_raw_synthetic_Jan_Jun2026[Net_Flow_Cr], FII_DII_raw_synthetic_Jan_Jun2026[Date], $A63, FII_DII_raw_synthetic_Jan_Jun2026[Entity_Type], "FII", FII_DII_raw_synthetic_Jan_Jun2026[Sector], N$1)</f>
        <v>0</v>
      </c>
      <c r="O63" s="23">
        <f>SUMIFS(FII_DII_raw_synthetic_Jan_Jun2026[Net_Flow_Cr], FII_DII_raw_synthetic_Jan_Jun2026[Date], $A63, FII_DII_raw_synthetic_Jan_Jun2026[Entity_Type], "FII", FII_DII_raw_synthetic_Jan_Jun2026[Sector], O$1)</f>
        <v>0</v>
      </c>
      <c r="P63" s="23">
        <f>SUMIFS(FII_DII_raw_synthetic_Jan_Jun2026[Net_Flow_Cr], FII_DII_raw_synthetic_Jan_Jun2026[Date], $A63, FII_DII_raw_synthetic_Jan_Jun2026[Entity_Type], "FII", FII_DII_raw_synthetic_Jan_Jun2026[Sector], P$1)</f>
        <v>139.61000000000001</v>
      </c>
      <c r="Q63" s="23" cm="1">
        <f t="array" ref="Q63">SUMPRODUCT(ABS(G63:P63))</f>
        <v>566.13</v>
      </c>
      <c r="R63" s="23" cm="1">
        <f t="array" ref="R63">LARGE(ABS(G63:P63),1)+LARGE(ABS(G63:P63),2)</f>
        <v>511.62</v>
      </c>
      <c r="S63" s="25">
        <f t="shared" si="1"/>
        <v>0.90371469450479569</v>
      </c>
      <c r="T63" s="23">
        <f>IFERROR(_xlfn.XLOOKUP(A63, 'Nifty 50 Historical Data'!A:A, 'Nifty 50 Historical Data'!G:G), "")</f>
        <v>-2.09</v>
      </c>
      <c r="W63" t="str">
        <f t="shared" si="2"/>
        <v>Aligned Flow</v>
      </c>
      <c r="Y63">
        <f t="shared" si="3"/>
        <v>13</v>
      </c>
    </row>
    <row r="64" spans="1:25">
      <c r="A64" s="24">
        <v>46111</v>
      </c>
      <c r="B64" s="23">
        <f>SUMIFS(FII_DII_raw_synthetic_Jan_Jun2026[Net_Flow_Cr], FII_DII_raw_synthetic_Jan_Jun2026[Date], A64, FII_DII_raw_synthetic_Jan_Jun2026[Entity_Type], "FII")</f>
        <v>-472.34000000000003</v>
      </c>
      <c r="C64" s="23">
        <f>SUMIFS(FII_DII_raw_synthetic_Jan_Jun2026[Net_Flow_Cr], FII_DII_raw_synthetic_Jan_Jun2026[Date], A64, FII_DII_raw_synthetic_Jan_Jun2026[Entity_Type], "DII")</f>
        <v>-126.50999999999999</v>
      </c>
      <c r="D64" s="23">
        <f t="shared" ref="D64:E64" si="64">AVERAGE(B60:B64)</f>
        <v>297.55599999999993</v>
      </c>
      <c r="E64" s="23">
        <f t="shared" si="64"/>
        <v>-674.16000000000008</v>
      </c>
      <c r="F64" s="23">
        <f t="shared" si="0"/>
        <v>345.83000000000004</v>
      </c>
      <c r="G64" s="23">
        <f>SUMIFS(FII_DII_raw_synthetic_Jan_Jun2026[Net_Flow_Cr], FII_DII_raw_synthetic_Jan_Jun2026[Date], $A64, FII_DII_raw_synthetic_Jan_Jun2026[Entity_Type], "FII", FII_DII_raw_synthetic_Jan_Jun2026[Sector], G$1)</f>
        <v>-17.8</v>
      </c>
      <c r="H64" s="23">
        <f>SUMIFS(FII_DII_raw_synthetic_Jan_Jun2026[Net_Flow_Cr], FII_DII_raw_synthetic_Jan_Jun2026[Date], $A64, FII_DII_raw_synthetic_Jan_Jun2026[Entity_Type], "FII", FII_DII_raw_synthetic_Jan_Jun2026[Sector], H$1)</f>
        <v>0</v>
      </c>
      <c r="I64" s="23">
        <f>SUMIFS(FII_DII_raw_synthetic_Jan_Jun2026[Net_Flow_Cr], FII_DII_raw_synthetic_Jan_Jun2026[Date], $A64, FII_DII_raw_synthetic_Jan_Jun2026[Entity_Type], "FII", FII_DII_raw_synthetic_Jan_Jun2026[Sector], I$1)</f>
        <v>0</v>
      </c>
      <c r="J64" s="23">
        <f>SUMIFS(FII_DII_raw_synthetic_Jan_Jun2026[Net_Flow_Cr], FII_DII_raw_synthetic_Jan_Jun2026[Date], $A64, FII_DII_raw_synthetic_Jan_Jun2026[Entity_Type], "FII", FII_DII_raw_synthetic_Jan_Jun2026[Sector], J$1)</f>
        <v>-77.16</v>
      </c>
      <c r="K64" s="23">
        <f>SUMIFS(FII_DII_raw_synthetic_Jan_Jun2026[Net_Flow_Cr], FII_DII_raw_synthetic_Jan_Jun2026[Date], $A64, FII_DII_raw_synthetic_Jan_Jun2026[Entity_Type], "FII", FII_DII_raw_synthetic_Jan_Jun2026[Sector], K$1)</f>
        <v>172.71</v>
      </c>
      <c r="L64" s="23">
        <f>SUMIFS(FII_DII_raw_synthetic_Jan_Jun2026[Net_Flow_Cr], FII_DII_raw_synthetic_Jan_Jun2026[Date], $A64, FII_DII_raw_synthetic_Jan_Jun2026[Entity_Type], "FII", FII_DII_raw_synthetic_Jan_Jun2026[Sector], L$1)</f>
        <v>0</v>
      </c>
      <c r="M64" s="23">
        <f>SUMIFS(FII_DII_raw_synthetic_Jan_Jun2026[Net_Flow_Cr], FII_DII_raw_synthetic_Jan_Jun2026[Date], $A64, FII_DII_raw_synthetic_Jan_Jun2026[Entity_Type], "FII", FII_DII_raw_synthetic_Jan_Jun2026[Sector], M$1)</f>
        <v>0</v>
      </c>
      <c r="N64" s="23">
        <f>SUMIFS(FII_DII_raw_synthetic_Jan_Jun2026[Net_Flow_Cr], FII_DII_raw_synthetic_Jan_Jun2026[Date], $A64, FII_DII_raw_synthetic_Jan_Jun2026[Entity_Type], "FII", FII_DII_raw_synthetic_Jan_Jun2026[Sector], N$1)</f>
        <v>0</v>
      </c>
      <c r="O64" s="23">
        <f>SUMIFS(FII_DII_raw_synthetic_Jan_Jun2026[Net_Flow_Cr], FII_DII_raw_synthetic_Jan_Jun2026[Date], $A64, FII_DII_raw_synthetic_Jan_Jun2026[Entity_Type], "FII", FII_DII_raw_synthetic_Jan_Jun2026[Sector], O$1)</f>
        <v>-550.09</v>
      </c>
      <c r="P64" s="23">
        <f>SUMIFS(FII_DII_raw_synthetic_Jan_Jun2026[Net_Flow_Cr], FII_DII_raw_synthetic_Jan_Jun2026[Date], $A64, FII_DII_raw_synthetic_Jan_Jun2026[Entity_Type], "FII", FII_DII_raw_synthetic_Jan_Jun2026[Sector], P$1)</f>
        <v>0</v>
      </c>
      <c r="Q64" s="23" cm="1">
        <f t="array" ref="Q64">SUMPRODUCT(ABS(G64:P64))</f>
        <v>817.76</v>
      </c>
      <c r="R64" s="23" cm="1">
        <f t="array" ref="R64">LARGE(ABS(G64:P64),1)+LARGE(ABS(G64:P64),2)</f>
        <v>722.80000000000007</v>
      </c>
      <c r="S64" s="25">
        <f t="shared" si="1"/>
        <v>0.88387791038935637</v>
      </c>
      <c r="T64" s="23">
        <f>IFERROR(_xlfn.XLOOKUP(A64, 'Nifty 50 Historical Data'!A:A, 'Nifty 50 Historical Data'!G:G), "")</f>
        <v>-2.14</v>
      </c>
      <c r="W64" t="str">
        <f t="shared" si="2"/>
        <v>Aligned Flow</v>
      </c>
      <c r="Y64">
        <f t="shared" si="3"/>
        <v>14</v>
      </c>
    </row>
    <row r="65" spans="1:25">
      <c r="A65" s="24">
        <v>46112</v>
      </c>
      <c r="B65" s="23">
        <f>SUMIFS(FII_DII_raw_synthetic_Jan_Jun2026[Net_Flow_Cr], FII_DII_raw_synthetic_Jan_Jun2026[Date], A65, FII_DII_raw_synthetic_Jan_Jun2026[Entity_Type], "FII")</f>
        <v>1588.14</v>
      </c>
      <c r="C65" s="23">
        <f>SUMIFS(FII_DII_raw_synthetic_Jan_Jun2026[Net_Flow_Cr], FII_DII_raw_synthetic_Jan_Jun2026[Date], A65, FII_DII_raw_synthetic_Jan_Jun2026[Entity_Type], "DII")</f>
        <v>720.25999999999976</v>
      </c>
      <c r="D65" s="23">
        <f t="shared" ref="D65:E65" si="65">AVERAGE(B61:B65)</f>
        <v>8.9440000000000062</v>
      </c>
      <c r="E65" s="23">
        <f t="shared" si="65"/>
        <v>-794.30800000000011</v>
      </c>
      <c r="F65" s="23">
        <f t="shared" si="0"/>
        <v>867.88000000000034</v>
      </c>
      <c r="G65" s="23">
        <f>SUMIFS(FII_DII_raw_synthetic_Jan_Jun2026[Net_Flow_Cr], FII_DII_raw_synthetic_Jan_Jun2026[Date], $A65, FII_DII_raw_synthetic_Jan_Jun2026[Entity_Type], "FII", FII_DII_raw_synthetic_Jan_Jun2026[Sector], G$1)</f>
        <v>0</v>
      </c>
      <c r="H65" s="23">
        <f>SUMIFS(FII_DII_raw_synthetic_Jan_Jun2026[Net_Flow_Cr], FII_DII_raw_synthetic_Jan_Jun2026[Date], $A65, FII_DII_raw_synthetic_Jan_Jun2026[Entity_Type], "FII", FII_DII_raw_synthetic_Jan_Jun2026[Sector], H$1)</f>
        <v>1056.93</v>
      </c>
      <c r="I65" s="23">
        <f>SUMIFS(FII_DII_raw_synthetic_Jan_Jun2026[Net_Flow_Cr], FII_DII_raw_synthetic_Jan_Jun2026[Date], $A65, FII_DII_raw_synthetic_Jan_Jun2026[Entity_Type], "FII", FII_DII_raw_synthetic_Jan_Jun2026[Sector], I$1)</f>
        <v>0</v>
      </c>
      <c r="J65" s="23">
        <f>SUMIFS(FII_DII_raw_synthetic_Jan_Jun2026[Net_Flow_Cr], FII_DII_raw_synthetic_Jan_Jun2026[Date], $A65, FII_DII_raw_synthetic_Jan_Jun2026[Entity_Type], "FII", FII_DII_raw_synthetic_Jan_Jun2026[Sector], J$1)</f>
        <v>624.35</v>
      </c>
      <c r="K65" s="23">
        <f>SUMIFS(FII_DII_raw_synthetic_Jan_Jun2026[Net_Flow_Cr], FII_DII_raw_synthetic_Jan_Jun2026[Date], $A65, FII_DII_raw_synthetic_Jan_Jun2026[Entity_Type], "FII", FII_DII_raw_synthetic_Jan_Jun2026[Sector], K$1)</f>
        <v>0</v>
      </c>
      <c r="L65" s="23">
        <f>SUMIFS(FII_DII_raw_synthetic_Jan_Jun2026[Net_Flow_Cr], FII_DII_raw_synthetic_Jan_Jun2026[Date], $A65, FII_DII_raw_synthetic_Jan_Jun2026[Entity_Type], "FII", FII_DII_raw_synthetic_Jan_Jun2026[Sector], L$1)</f>
        <v>0</v>
      </c>
      <c r="M65" s="23">
        <f>SUMIFS(FII_DII_raw_synthetic_Jan_Jun2026[Net_Flow_Cr], FII_DII_raw_synthetic_Jan_Jun2026[Date], $A65, FII_DII_raw_synthetic_Jan_Jun2026[Entity_Type], "FII", FII_DII_raw_synthetic_Jan_Jun2026[Sector], M$1)</f>
        <v>46.11</v>
      </c>
      <c r="N65" s="23">
        <f>SUMIFS(FII_DII_raw_synthetic_Jan_Jun2026[Net_Flow_Cr], FII_DII_raw_synthetic_Jan_Jun2026[Date], $A65, FII_DII_raw_synthetic_Jan_Jun2026[Entity_Type], "FII", FII_DII_raw_synthetic_Jan_Jun2026[Sector], N$1)</f>
        <v>0</v>
      </c>
      <c r="O65" s="23">
        <f>SUMIFS(FII_DII_raw_synthetic_Jan_Jun2026[Net_Flow_Cr], FII_DII_raw_synthetic_Jan_Jun2026[Date], $A65, FII_DII_raw_synthetic_Jan_Jun2026[Entity_Type], "FII", FII_DII_raw_synthetic_Jan_Jun2026[Sector], O$1)</f>
        <v>0</v>
      </c>
      <c r="P65" s="23">
        <f>SUMIFS(FII_DII_raw_synthetic_Jan_Jun2026[Net_Flow_Cr], FII_DII_raw_synthetic_Jan_Jun2026[Date], $A65, FII_DII_raw_synthetic_Jan_Jun2026[Entity_Type], "FII", FII_DII_raw_synthetic_Jan_Jun2026[Sector], P$1)</f>
        <v>-139.25</v>
      </c>
      <c r="Q65" s="23" cm="1">
        <f t="array" ref="Q65">SUMPRODUCT(ABS(G65:P65))</f>
        <v>1866.64</v>
      </c>
      <c r="R65" s="23" cm="1">
        <f t="array" ref="R65">LARGE(ABS(G65:P65),1)+LARGE(ABS(G65:P65),2)</f>
        <v>1681.2800000000002</v>
      </c>
      <c r="S65" s="25">
        <f t="shared" si="1"/>
        <v>0.90069858140830594</v>
      </c>
      <c r="T65" s="23" t="str">
        <f>IFERROR(_xlfn.XLOOKUP(A65, 'Nifty 50 Historical Data'!A:A, 'Nifty 50 Historical Data'!G:G), "")</f>
        <v/>
      </c>
      <c r="W65" t="str">
        <f t="shared" si="2"/>
        <v>Aligned Flow</v>
      </c>
      <c r="Y65">
        <f t="shared" si="3"/>
        <v>14</v>
      </c>
    </row>
    <row r="66" spans="1:25">
      <c r="A66" s="24">
        <v>46113</v>
      </c>
      <c r="B66" s="23">
        <f>SUMIFS(FII_DII_raw_synthetic_Jan_Jun2026[Net_Flow_Cr], FII_DII_raw_synthetic_Jan_Jun2026[Date], A66, FII_DII_raw_synthetic_Jan_Jun2026[Entity_Type], "FII")</f>
        <v>814.82999999999993</v>
      </c>
      <c r="C66" s="23">
        <f>SUMIFS(FII_DII_raw_synthetic_Jan_Jun2026[Net_Flow_Cr], FII_DII_raw_synthetic_Jan_Jun2026[Date], A66, FII_DII_raw_synthetic_Jan_Jun2026[Entity_Type], "DII")</f>
        <v>-2224.06</v>
      </c>
      <c r="D66" s="23">
        <f t="shared" ref="D66:E66" si="66">AVERAGE(B62:B66)</f>
        <v>241.196</v>
      </c>
      <c r="E66" s="23">
        <f t="shared" si="66"/>
        <v>-884.36800000000005</v>
      </c>
      <c r="F66" s="23">
        <f t="shared" si="0"/>
        <v>-1409.23</v>
      </c>
      <c r="G66" s="23">
        <f>SUMIFS(FII_DII_raw_synthetic_Jan_Jun2026[Net_Flow_Cr], FII_DII_raw_synthetic_Jan_Jun2026[Date], $A66, FII_DII_raw_synthetic_Jan_Jun2026[Entity_Type], "FII", FII_DII_raw_synthetic_Jan_Jun2026[Sector], G$1)</f>
        <v>0</v>
      </c>
      <c r="H66" s="23">
        <f>SUMIFS(FII_DII_raw_synthetic_Jan_Jun2026[Net_Flow_Cr], FII_DII_raw_synthetic_Jan_Jun2026[Date], $A66, FII_DII_raw_synthetic_Jan_Jun2026[Entity_Type], "FII", FII_DII_raw_synthetic_Jan_Jun2026[Sector], H$1)</f>
        <v>0</v>
      </c>
      <c r="I66" s="23">
        <f>SUMIFS(FII_DII_raw_synthetic_Jan_Jun2026[Net_Flow_Cr], FII_DII_raw_synthetic_Jan_Jun2026[Date], $A66, FII_DII_raw_synthetic_Jan_Jun2026[Entity_Type], "FII", FII_DII_raw_synthetic_Jan_Jun2026[Sector], I$1)</f>
        <v>679.26</v>
      </c>
      <c r="J66" s="23">
        <f>SUMIFS(FII_DII_raw_synthetic_Jan_Jun2026[Net_Flow_Cr], FII_DII_raw_synthetic_Jan_Jun2026[Date], $A66, FII_DII_raw_synthetic_Jan_Jun2026[Entity_Type], "FII", FII_DII_raw_synthetic_Jan_Jun2026[Sector], J$1)</f>
        <v>0</v>
      </c>
      <c r="K66" s="23">
        <f>SUMIFS(FII_DII_raw_synthetic_Jan_Jun2026[Net_Flow_Cr], FII_DII_raw_synthetic_Jan_Jun2026[Date], $A66, FII_DII_raw_synthetic_Jan_Jun2026[Entity_Type], "FII", FII_DII_raw_synthetic_Jan_Jun2026[Sector], K$1)</f>
        <v>0</v>
      </c>
      <c r="L66" s="23">
        <f>SUMIFS(FII_DII_raw_synthetic_Jan_Jun2026[Net_Flow_Cr], FII_DII_raw_synthetic_Jan_Jun2026[Date], $A66, FII_DII_raw_synthetic_Jan_Jun2026[Entity_Type], "FII", FII_DII_raw_synthetic_Jan_Jun2026[Sector], L$1)</f>
        <v>0</v>
      </c>
      <c r="M66" s="23">
        <f>SUMIFS(FII_DII_raw_synthetic_Jan_Jun2026[Net_Flow_Cr], FII_DII_raw_synthetic_Jan_Jun2026[Date], $A66, FII_DII_raw_synthetic_Jan_Jun2026[Entity_Type], "FII", FII_DII_raw_synthetic_Jan_Jun2026[Sector], M$1)</f>
        <v>0</v>
      </c>
      <c r="N66" s="23">
        <f>SUMIFS(FII_DII_raw_synthetic_Jan_Jun2026[Net_Flow_Cr], FII_DII_raw_synthetic_Jan_Jun2026[Date], $A66, FII_DII_raw_synthetic_Jan_Jun2026[Entity_Type], "FII", FII_DII_raw_synthetic_Jan_Jun2026[Sector], N$1)</f>
        <v>0</v>
      </c>
      <c r="O66" s="23">
        <f>SUMIFS(FII_DII_raw_synthetic_Jan_Jun2026[Net_Flow_Cr], FII_DII_raw_synthetic_Jan_Jun2026[Date], $A66, FII_DII_raw_synthetic_Jan_Jun2026[Entity_Type], "FII", FII_DII_raw_synthetic_Jan_Jun2026[Sector], O$1)</f>
        <v>135.57</v>
      </c>
      <c r="P66" s="23">
        <f>SUMIFS(FII_DII_raw_synthetic_Jan_Jun2026[Net_Flow_Cr], FII_DII_raw_synthetic_Jan_Jun2026[Date], $A66, FII_DII_raw_synthetic_Jan_Jun2026[Entity_Type], "FII", FII_DII_raw_synthetic_Jan_Jun2026[Sector], P$1)</f>
        <v>0</v>
      </c>
      <c r="Q66" s="23" cm="1">
        <f t="array" ref="Q66">SUMPRODUCT(ABS(G66:P66))</f>
        <v>814.82999999999993</v>
      </c>
      <c r="R66" s="23" cm="1">
        <f t="array" ref="R66">LARGE(ABS(G66:P66),1)+LARGE(ABS(G66:P66),2)</f>
        <v>814.82999999999993</v>
      </c>
      <c r="S66" s="25">
        <f t="shared" si="1"/>
        <v>1</v>
      </c>
      <c r="T66" s="23">
        <f>IFERROR(_xlfn.XLOOKUP(A66, 'Nifty 50 Historical Data'!A:A, 'Nifty 50 Historical Data'!G:G), "")</f>
        <v>1.56</v>
      </c>
      <c r="W66" t="str">
        <f t="shared" si="2"/>
        <v>Divergent Flow</v>
      </c>
      <c r="Y66">
        <f t="shared" si="3"/>
        <v>14</v>
      </c>
    </row>
    <row r="67" spans="1:25">
      <c r="A67" s="24">
        <v>46114</v>
      </c>
      <c r="B67" s="23">
        <f>SUMIFS(FII_DII_raw_synthetic_Jan_Jun2026[Net_Flow_Cr], FII_DII_raw_synthetic_Jan_Jun2026[Date], A67, FII_DII_raw_synthetic_Jan_Jun2026[Entity_Type], "FII")</f>
        <v>976.54999999999973</v>
      </c>
      <c r="C67" s="23">
        <f>SUMIFS(FII_DII_raw_synthetic_Jan_Jun2026[Net_Flow_Cr], FII_DII_raw_synthetic_Jan_Jun2026[Date], A67, FII_DII_raw_synthetic_Jan_Jun2026[Entity_Type], "DII")</f>
        <v>32.590000000000003</v>
      </c>
      <c r="D67" s="23">
        <f t="shared" ref="D67:E67" si="67">AVERAGE(B63:B67)</f>
        <v>672.85799999999995</v>
      </c>
      <c r="E67" s="23">
        <f t="shared" si="67"/>
        <v>-164.78199999999998</v>
      </c>
      <c r="F67" s="23">
        <f t="shared" ref="F67:F129" si="68">ABS(B67)-ABS(C67)</f>
        <v>943.9599999999997</v>
      </c>
      <c r="G67" s="23">
        <f>SUMIFS(FII_DII_raw_synthetic_Jan_Jun2026[Net_Flow_Cr], FII_DII_raw_synthetic_Jan_Jun2026[Date], $A67, FII_DII_raw_synthetic_Jan_Jun2026[Entity_Type], "FII", FII_DII_raw_synthetic_Jan_Jun2026[Sector], G$1)</f>
        <v>-360.8</v>
      </c>
      <c r="H67" s="23">
        <f>SUMIFS(FII_DII_raw_synthetic_Jan_Jun2026[Net_Flow_Cr], FII_DII_raw_synthetic_Jan_Jun2026[Date], $A67, FII_DII_raw_synthetic_Jan_Jun2026[Entity_Type], "FII", FII_DII_raw_synthetic_Jan_Jun2026[Sector], H$1)</f>
        <v>0</v>
      </c>
      <c r="I67" s="23">
        <f>SUMIFS(FII_DII_raw_synthetic_Jan_Jun2026[Net_Flow_Cr], FII_DII_raw_synthetic_Jan_Jun2026[Date], $A67, FII_DII_raw_synthetic_Jan_Jun2026[Entity_Type], "FII", FII_DII_raw_synthetic_Jan_Jun2026[Sector], I$1)</f>
        <v>-1708.4</v>
      </c>
      <c r="J67" s="23">
        <f>SUMIFS(FII_DII_raw_synthetic_Jan_Jun2026[Net_Flow_Cr], FII_DII_raw_synthetic_Jan_Jun2026[Date], $A67, FII_DII_raw_synthetic_Jan_Jun2026[Entity_Type], "FII", FII_DII_raw_synthetic_Jan_Jun2026[Sector], J$1)</f>
        <v>1859.3</v>
      </c>
      <c r="K67" s="23">
        <f>SUMIFS(FII_DII_raw_synthetic_Jan_Jun2026[Net_Flow_Cr], FII_DII_raw_synthetic_Jan_Jun2026[Date], $A67, FII_DII_raw_synthetic_Jan_Jun2026[Entity_Type], "FII", FII_DII_raw_synthetic_Jan_Jun2026[Sector], K$1)</f>
        <v>0</v>
      </c>
      <c r="L67" s="23">
        <f>SUMIFS(FII_DII_raw_synthetic_Jan_Jun2026[Net_Flow_Cr], FII_DII_raw_synthetic_Jan_Jun2026[Date], $A67, FII_DII_raw_synthetic_Jan_Jun2026[Entity_Type], "FII", FII_DII_raw_synthetic_Jan_Jun2026[Sector], L$1)</f>
        <v>0</v>
      </c>
      <c r="M67" s="23">
        <f>SUMIFS(FII_DII_raw_synthetic_Jan_Jun2026[Net_Flow_Cr], FII_DII_raw_synthetic_Jan_Jun2026[Date], $A67, FII_DII_raw_synthetic_Jan_Jun2026[Entity_Type], "FII", FII_DII_raw_synthetic_Jan_Jun2026[Sector], M$1)</f>
        <v>0</v>
      </c>
      <c r="N67" s="23">
        <f>SUMIFS(FII_DII_raw_synthetic_Jan_Jun2026[Net_Flow_Cr], FII_DII_raw_synthetic_Jan_Jun2026[Date], $A67, FII_DII_raw_synthetic_Jan_Jun2026[Entity_Type], "FII", FII_DII_raw_synthetic_Jan_Jun2026[Sector], N$1)</f>
        <v>0</v>
      </c>
      <c r="O67" s="23">
        <f>SUMIFS(FII_DII_raw_synthetic_Jan_Jun2026[Net_Flow_Cr], FII_DII_raw_synthetic_Jan_Jun2026[Date], $A67, FII_DII_raw_synthetic_Jan_Jun2026[Entity_Type], "FII", FII_DII_raw_synthetic_Jan_Jun2026[Sector], O$1)</f>
        <v>0</v>
      </c>
      <c r="P67" s="23">
        <f>SUMIFS(FII_DII_raw_synthetic_Jan_Jun2026[Net_Flow_Cr], FII_DII_raw_synthetic_Jan_Jun2026[Date], $A67, FII_DII_raw_synthetic_Jan_Jun2026[Entity_Type], "FII", FII_DII_raw_synthetic_Jan_Jun2026[Sector], P$1)</f>
        <v>1186.45</v>
      </c>
      <c r="Q67" s="23" cm="1">
        <f t="array" ref="Q67">SUMPRODUCT(ABS(G67:P67))</f>
        <v>5114.95</v>
      </c>
      <c r="R67" s="23" cm="1">
        <f t="array" ref="R67">LARGE(ABS(G67:P67),1)+LARGE(ABS(G67:P67),2)</f>
        <v>3567.7</v>
      </c>
      <c r="S67" s="25">
        <f t="shared" ref="S67:S129" si="69">IFERROR(R67/Q67,0)</f>
        <v>0.69750437443181257</v>
      </c>
      <c r="T67" s="23">
        <f>IFERROR(_xlfn.XLOOKUP(A67, 'Nifty 50 Historical Data'!A:A, 'Nifty 50 Historical Data'!G:G), "")</f>
        <v>0.15</v>
      </c>
      <c r="W67" t="str">
        <f t="shared" ref="W67:W129" si="70">IF(B67&lt;=-$X$2,"Strong FII Selling",IF(B67&gt;=$X$2,"Strong FII Buying",IF(OR(B67=0,C67=0),"Neutral",IF(SIGN(B67)&lt;&gt;SIGN(C67),"Divergent Flow","Aligned Flow"))))</f>
        <v>Aligned Flow</v>
      </c>
      <c r="Y67">
        <f t="shared" ref="Y67:Y129" si="71">WEEKNUM(A67,2)</f>
        <v>14</v>
      </c>
    </row>
    <row r="68" spans="1:25">
      <c r="A68" s="24">
        <v>46118</v>
      </c>
      <c r="B68" s="23">
        <f>SUMIFS(FII_DII_raw_synthetic_Jan_Jun2026[Net_Flow_Cr], FII_DII_raw_synthetic_Jan_Jun2026[Date], A68, FII_DII_raw_synthetic_Jan_Jun2026[Entity_Type], "FII")</f>
        <v>925.07999999999993</v>
      </c>
      <c r="C68" s="23">
        <f>SUMIFS(FII_DII_raw_synthetic_Jan_Jun2026[Net_Flow_Cr], FII_DII_raw_synthetic_Jan_Jun2026[Date], A68, FII_DII_raw_synthetic_Jan_Jun2026[Entity_Type], "DII")</f>
        <v>2744.8799999999997</v>
      </c>
      <c r="D68" s="23">
        <f t="shared" ref="D68:E68" si="72">AVERAGE(B64:B68)</f>
        <v>766.452</v>
      </c>
      <c r="E68" s="23">
        <f t="shared" si="72"/>
        <v>229.43199999999987</v>
      </c>
      <c r="F68" s="23">
        <f t="shared" si="68"/>
        <v>-1819.7999999999997</v>
      </c>
      <c r="G68" s="23">
        <f>SUMIFS(FII_DII_raw_synthetic_Jan_Jun2026[Net_Flow_Cr], FII_DII_raw_synthetic_Jan_Jun2026[Date], $A68, FII_DII_raw_synthetic_Jan_Jun2026[Entity_Type], "FII", FII_DII_raw_synthetic_Jan_Jun2026[Sector], G$1)</f>
        <v>0</v>
      </c>
      <c r="H68" s="23">
        <f>SUMIFS(FII_DII_raw_synthetic_Jan_Jun2026[Net_Flow_Cr], FII_DII_raw_synthetic_Jan_Jun2026[Date], $A68, FII_DII_raw_synthetic_Jan_Jun2026[Entity_Type], "FII", FII_DII_raw_synthetic_Jan_Jun2026[Sector], H$1)</f>
        <v>0</v>
      </c>
      <c r="I68" s="23">
        <f>SUMIFS(FII_DII_raw_synthetic_Jan_Jun2026[Net_Flow_Cr], FII_DII_raw_synthetic_Jan_Jun2026[Date], $A68, FII_DII_raw_synthetic_Jan_Jun2026[Entity_Type], "FII", FII_DII_raw_synthetic_Jan_Jun2026[Sector], I$1)</f>
        <v>0</v>
      </c>
      <c r="J68" s="23">
        <f>SUMIFS(FII_DII_raw_synthetic_Jan_Jun2026[Net_Flow_Cr], FII_DII_raw_synthetic_Jan_Jun2026[Date], $A68, FII_DII_raw_synthetic_Jan_Jun2026[Entity_Type], "FII", FII_DII_raw_synthetic_Jan_Jun2026[Sector], J$1)</f>
        <v>0</v>
      </c>
      <c r="K68" s="23">
        <f>SUMIFS(FII_DII_raw_synthetic_Jan_Jun2026[Net_Flow_Cr], FII_DII_raw_synthetic_Jan_Jun2026[Date], $A68, FII_DII_raw_synthetic_Jan_Jun2026[Entity_Type], "FII", FII_DII_raw_synthetic_Jan_Jun2026[Sector], K$1)</f>
        <v>1308.76</v>
      </c>
      <c r="L68" s="23">
        <f>SUMIFS(FII_DII_raw_synthetic_Jan_Jun2026[Net_Flow_Cr], FII_DII_raw_synthetic_Jan_Jun2026[Date], $A68, FII_DII_raw_synthetic_Jan_Jun2026[Entity_Type], "FII", FII_DII_raw_synthetic_Jan_Jun2026[Sector], L$1)</f>
        <v>0</v>
      </c>
      <c r="M68" s="23">
        <f>SUMIFS(FII_DII_raw_synthetic_Jan_Jun2026[Net_Flow_Cr], FII_DII_raw_synthetic_Jan_Jun2026[Date], $A68, FII_DII_raw_synthetic_Jan_Jun2026[Entity_Type], "FII", FII_DII_raw_synthetic_Jan_Jun2026[Sector], M$1)</f>
        <v>0</v>
      </c>
      <c r="N68" s="23">
        <f>SUMIFS(FII_DII_raw_synthetic_Jan_Jun2026[Net_Flow_Cr], FII_DII_raw_synthetic_Jan_Jun2026[Date], $A68, FII_DII_raw_synthetic_Jan_Jun2026[Entity_Type], "FII", FII_DII_raw_synthetic_Jan_Jun2026[Sector], N$1)</f>
        <v>0</v>
      </c>
      <c r="O68" s="23">
        <f>SUMIFS(FII_DII_raw_synthetic_Jan_Jun2026[Net_Flow_Cr], FII_DII_raw_synthetic_Jan_Jun2026[Date], $A68, FII_DII_raw_synthetic_Jan_Jun2026[Entity_Type], "FII", FII_DII_raw_synthetic_Jan_Jun2026[Sector], O$1)</f>
        <v>-1028.44</v>
      </c>
      <c r="P68" s="23">
        <f>SUMIFS(FII_DII_raw_synthetic_Jan_Jun2026[Net_Flow_Cr], FII_DII_raw_synthetic_Jan_Jun2026[Date], $A68, FII_DII_raw_synthetic_Jan_Jun2026[Entity_Type], "FII", FII_DII_raw_synthetic_Jan_Jun2026[Sector], P$1)</f>
        <v>644.76</v>
      </c>
      <c r="Q68" s="23" cm="1">
        <f t="array" ref="Q68">SUMPRODUCT(ABS(G68:P68))</f>
        <v>2981.96</v>
      </c>
      <c r="R68" s="23" cm="1">
        <f t="array" ref="R68">LARGE(ABS(G68:P68),1)+LARGE(ABS(G68:P68),2)</f>
        <v>2337.1999999999998</v>
      </c>
      <c r="S68" s="25">
        <f t="shared" si="69"/>
        <v>0.78377979583897828</v>
      </c>
      <c r="T68" s="23">
        <f>IFERROR(_xlfn.XLOOKUP(A68, 'Nifty 50 Historical Data'!A:A, 'Nifty 50 Historical Data'!G:G), "")</f>
        <v>1.1200000000000001</v>
      </c>
      <c r="W68" t="str">
        <f t="shared" si="70"/>
        <v>Aligned Flow</v>
      </c>
      <c r="Y68">
        <f t="shared" si="71"/>
        <v>15</v>
      </c>
    </row>
    <row r="69" spans="1:25">
      <c r="A69" s="24">
        <v>46119</v>
      </c>
      <c r="B69" s="23">
        <f>SUMIFS(FII_DII_raw_synthetic_Jan_Jun2026[Net_Flow_Cr], FII_DII_raw_synthetic_Jan_Jun2026[Date], A69, FII_DII_raw_synthetic_Jan_Jun2026[Entity_Type], "FII")</f>
        <v>3936.06</v>
      </c>
      <c r="C69" s="23">
        <f>SUMIFS(FII_DII_raw_synthetic_Jan_Jun2026[Net_Flow_Cr], FII_DII_raw_synthetic_Jan_Jun2026[Date], A69, FII_DII_raw_synthetic_Jan_Jun2026[Entity_Type], "DII")</f>
        <v>-109.78999999999985</v>
      </c>
      <c r="D69" s="23">
        <f t="shared" ref="D69:E69" si="73">AVERAGE(B65:B69)</f>
        <v>1648.1320000000001</v>
      </c>
      <c r="E69" s="23">
        <f t="shared" si="73"/>
        <v>232.77599999999993</v>
      </c>
      <c r="F69" s="23">
        <f t="shared" si="68"/>
        <v>3826.27</v>
      </c>
      <c r="G69" s="23">
        <f>SUMIFS(FII_DII_raw_synthetic_Jan_Jun2026[Net_Flow_Cr], FII_DII_raw_synthetic_Jan_Jun2026[Date], $A69, FII_DII_raw_synthetic_Jan_Jun2026[Entity_Type], "FII", FII_DII_raw_synthetic_Jan_Jun2026[Sector], G$1)</f>
        <v>0</v>
      </c>
      <c r="H69" s="23">
        <f>SUMIFS(FII_DII_raw_synthetic_Jan_Jun2026[Net_Flow_Cr], FII_DII_raw_synthetic_Jan_Jun2026[Date], $A69, FII_DII_raw_synthetic_Jan_Jun2026[Entity_Type], "FII", FII_DII_raw_synthetic_Jan_Jun2026[Sector], H$1)</f>
        <v>742.9</v>
      </c>
      <c r="I69" s="23">
        <f>SUMIFS(FII_DII_raw_synthetic_Jan_Jun2026[Net_Flow_Cr], FII_DII_raw_synthetic_Jan_Jun2026[Date], $A69, FII_DII_raw_synthetic_Jan_Jun2026[Entity_Type], "FII", FII_DII_raw_synthetic_Jan_Jun2026[Sector], I$1)</f>
        <v>784.16</v>
      </c>
      <c r="J69" s="23">
        <f>SUMIFS(FII_DII_raw_synthetic_Jan_Jun2026[Net_Flow_Cr], FII_DII_raw_synthetic_Jan_Jun2026[Date], $A69, FII_DII_raw_synthetic_Jan_Jun2026[Entity_Type], "FII", FII_DII_raw_synthetic_Jan_Jun2026[Sector], J$1)</f>
        <v>739.62</v>
      </c>
      <c r="K69" s="23">
        <f>SUMIFS(FII_DII_raw_synthetic_Jan_Jun2026[Net_Flow_Cr], FII_DII_raw_synthetic_Jan_Jun2026[Date], $A69, FII_DII_raw_synthetic_Jan_Jun2026[Entity_Type], "FII", FII_DII_raw_synthetic_Jan_Jun2026[Sector], K$1)</f>
        <v>0</v>
      </c>
      <c r="L69" s="23">
        <f>SUMIFS(FII_DII_raw_synthetic_Jan_Jun2026[Net_Flow_Cr], FII_DII_raw_synthetic_Jan_Jun2026[Date], $A69, FII_DII_raw_synthetic_Jan_Jun2026[Entity_Type], "FII", FII_DII_raw_synthetic_Jan_Jun2026[Sector], L$1)</f>
        <v>1669.38</v>
      </c>
      <c r="M69" s="23">
        <f>SUMIFS(FII_DII_raw_synthetic_Jan_Jun2026[Net_Flow_Cr], FII_DII_raw_synthetic_Jan_Jun2026[Date], $A69, FII_DII_raw_synthetic_Jan_Jun2026[Entity_Type], "FII", FII_DII_raw_synthetic_Jan_Jun2026[Sector], M$1)</f>
        <v>0</v>
      </c>
      <c r="N69" s="23">
        <f>SUMIFS(FII_DII_raw_synthetic_Jan_Jun2026[Net_Flow_Cr], FII_DII_raw_synthetic_Jan_Jun2026[Date], $A69, FII_DII_raw_synthetic_Jan_Jun2026[Entity_Type], "FII", FII_DII_raw_synthetic_Jan_Jun2026[Sector], N$1)</f>
        <v>0</v>
      </c>
      <c r="O69" s="23">
        <f>SUMIFS(FII_DII_raw_synthetic_Jan_Jun2026[Net_Flow_Cr], FII_DII_raw_synthetic_Jan_Jun2026[Date], $A69, FII_DII_raw_synthetic_Jan_Jun2026[Entity_Type], "FII", FII_DII_raw_synthetic_Jan_Jun2026[Sector], O$1)</f>
        <v>0</v>
      </c>
      <c r="P69" s="23">
        <f>SUMIFS(FII_DII_raw_synthetic_Jan_Jun2026[Net_Flow_Cr], FII_DII_raw_synthetic_Jan_Jun2026[Date], $A69, FII_DII_raw_synthetic_Jan_Jun2026[Entity_Type], "FII", FII_DII_raw_synthetic_Jan_Jun2026[Sector], P$1)</f>
        <v>0</v>
      </c>
      <c r="Q69" s="23" cm="1">
        <f t="array" ref="Q69">SUMPRODUCT(ABS(G69:P69))</f>
        <v>3936.06</v>
      </c>
      <c r="R69" s="23" cm="1">
        <f t="array" ref="R69">LARGE(ABS(G69:P69),1)+LARGE(ABS(G69:P69),2)</f>
        <v>2453.54</v>
      </c>
      <c r="S69" s="25">
        <f t="shared" si="69"/>
        <v>0.62334923756243554</v>
      </c>
      <c r="T69" s="23">
        <f>IFERROR(_xlfn.XLOOKUP(A69, 'Nifty 50 Historical Data'!A:A, 'Nifty 50 Historical Data'!G:G), "")</f>
        <v>0.68</v>
      </c>
      <c r="W69" t="str">
        <f t="shared" si="70"/>
        <v>Strong FII Buying</v>
      </c>
      <c r="Y69">
        <f t="shared" si="71"/>
        <v>15</v>
      </c>
    </row>
    <row r="70" spans="1:25">
      <c r="A70" s="24">
        <v>46120</v>
      </c>
      <c r="B70" s="23">
        <f>SUMIFS(FII_DII_raw_synthetic_Jan_Jun2026[Net_Flow_Cr], FII_DII_raw_synthetic_Jan_Jun2026[Date], A70, FII_DII_raw_synthetic_Jan_Jun2026[Entity_Type], "FII")</f>
        <v>359.6099999999999</v>
      </c>
      <c r="C70" s="23">
        <f>SUMIFS(FII_DII_raw_synthetic_Jan_Jun2026[Net_Flow_Cr], FII_DII_raw_synthetic_Jan_Jun2026[Date], A70, FII_DII_raw_synthetic_Jan_Jun2026[Entity_Type], "DII")</f>
        <v>3055.6800000000003</v>
      </c>
      <c r="D70" s="23">
        <f t="shared" ref="D70:E70" si="74">AVERAGE(B66:B70)</f>
        <v>1402.4259999999999</v>
      </c>
      <c r="E70" s="23">
        <f t="shared" si="74"/>
        <v>699.86</v>
      </c>
      <c r="F70" s="23">
        <f t="shared" si="68"/>
        <v>-2696.0700000000006</v>
      </c>
      <c r="G70" s="23">
        <f>SUMIFS(FII_DII_raw_synthetic_Jan_Jun2026[Net_Flow_Cr], FII_DII_raw_synthetic_Jan_Jun2026[Date], $A70, FII_DII_raw_synthetic_Jan_Jun2026[Entity_Type], "FII", FII_DII_raw_synthetic_Jan_Jun2026[Sector], G$1)</f>
        <v>0</v>
      </c>
      <c r="H70" s="23">
        <f>SUMIFS(FII_DII_raw_synthetic_Jan_Jun2026[Net_Flow_Cr], FII_DII_raw_synthetic_Jan_Jun2026[Date], $A70, FII_DII_raw_synthetic_Jan_Jun2026[Entity_Type], "FII", FII_DII_raw_synthetic_Jan_Jun2026[Sector], H$1)</f>
        <v>0</v>
      </c>
      <c r="I70" s="23">
        <f>SUMIFS(FII_DII_raw_synthetic_Jan_Jun2026[Net_Flow_Cr], FII_DII_raw_synthetic_Jan_Jun2026[Date], $A70, FII_DII_raw_synthetic_Jan_Jun2026[Entity_Type], "FII", FII_DII_raw_synthetic_Jan_Jun2026[Sector], I$1)</f>
        <v>0</v>
      </c>
      <c r="J70" s="23">
        <f>SUMIFS(FII_DII_raw_synthetic_Jan_Jun2026[Net_Flow_Cr], FII_DII_raw_synthetic_Jan_Jun2026[Date], $A70, FII_DII_raw_synthetic_Jan_Jun2026[Entity_Type], "FII", FII_DII_raw_synthetic_Jan_Jun2026[Sector], J$1)</f>
        <v>0</v>
      </c>
      <c r="K70" s="23">
        <f>SUMIFS(FII_DII_raw_synthetic_Jan_Jun2026[Net_Flow_Cr], FII_DII_raw_synthetic_Jan_Jun2026[Date], $A70, FII_DII_raw_synthetic_Jan_Jun2026[Entity_Type], "FII", FII_DII_raw_synthetic_Jan_Jun2026[Sector], K$1)</f>
        <v>1129.5899999999999</v>
      </c>
      <c r="L70" s="23">
        <f>SUMIFS(FII_DII_raw_synthetic_Jan_Jun2026[Net_Flow_Cr], FII_DII_raw_synthetic_Jan_Jun2026[Date], $A70, FII_DII_raw_synthetic_Jan_Jun2026[Entity_Type], "FII", FII_DII_raw_synthetic_Jan_Jun2026[Sector], L$1)</f>
        <v>-308.07</v>
      </c>
      <c r="M70" s="23">
        <f>SUMIFS(FII_DII_raw_synthetic_Jan_Jun2026[Net_Flow_Cr], FII_DII_raw_synthetic_Jan_Jun2026[Date], $A70, FII_DII_raw_synthetic_Jan_Jun2026[Entity_Type], "FII", FII_DII_raw_synthetic_Jan_Jun2026[Sector], M$1)</f>
        <v>0</v>
      </c>
      <c r="N70" s="23">
        <f>SUMIFS(FII_DII_raw_synthetic_Jan_Jun2026[Net_Flow_Cr], FII_DII_raw_synthetic_Jan_Jun2026[Date], $A70, FII_DII_raw_synthetic_Jan_Jun2026[Entity_Type], "FII", FII_DII_raw_synthetic_Jan_Jun2026[Sector], N$1)</f>
        <v>-461.91</v>
      </c>
      <c r="O70" s="23">
        <f>SUMIFS(FII_DII_raw_synthetic_Jan_Jun2026[Net_Flow_Cr], FII_DII_raw_synthetic_Jan_Jun2026[Date], $A70, FII_DII_raw_synthetic_Jan_Jun2026[Entity_Type], "FII", FII_DII_raw_synthetic_Jan_Jun2026[Sector], O$1)</f>
        <v>0</v>
      </c>
      <c r="P70" s="23">
        <f>SUMIFS(FII_DII_raw_synthetic_Jan_Jun2026[Net_Flow_Cr], FII_DII_raw_synthetic_Jan_Jun2026[Date], $A70, FII_DII_raw_synthetic_Jan_Jun2026[Entity_Type], "FII", FII_DII_raw_synthetic_Jan_Jun2026[Sector], P$1)</f>
        <v>0</v>
      </c>
      <c r="Q70" s="23" cm="1">
        <f t="array" ref="Q70">SUMPRODUCT(ABS(G70:P70))</f>
        <v>1899.57</v>
      </c>
      <c r="R70" s="23" cm="1">
        <f t="array" ref="R70">LARGE(ABS(G70:P70),1)+LARGE(ABS(G70:P70),2)</f>
        <v>1591.5</v>
      </c>
      <c r="S70" s="25">
        <f t="shared" si="69"/>
        <v>0.83782119111167264</v>
      </c>
      <c r="T70" s="23">
        <f>IFERROR(_xlfn.XLOOKUP(A70, 'Nifty 50 Historical Data'!A:A, 'Nifty 50 Historical Data'!G:G), "")</f>
        <v>3.78</v>
      </c>
      <c r="W70" t="str">
        <f t="shared" si="70"/>
        <v>Aligned Flow</v>
      </c>
      <c r="Y70">
        <f t="shared" si="71"/>
        <v>15</v>
      </c>
    </row>
    <row r="71" spans="1:25">
      <c r="A71" s="24">
        <v>46121</v>
      </c>
      <c r="B71" s="23">
        <f>SUMIFS(FII_DII_raw_synthetic_Jan_Jun2026[Net_Flow_Cr], FII_DII_raw_synthetic_Jan_Jun2026[Date], A71, FII_DII_raw_synthetic_Jan_Jun2026[Entity_Type], "FII")</f>
        <v>-1053.6199999999999</v>
      </c>
      <c r="C71" s="23">
        <f>SUMIFS(FII_DII_raw_synthetic_Jan_Jun2026[Net_Flow_Cr], FII_DII_raw_synthetic_Jan_Jun2026[Date], A71, FII_DII_raw_synthetic_Jan_Jun2026[Entity_Type], "DII")</f>
        <v>2153.7599999999998</v>
      </c>
      <c r="D71" s="23">
        <f t="shared" ref="D71:E71" si="75">AVERAGE(B67:B71)</f>
        <v>1028.7359999999999</v>
      </c>
      <c r="E71" s="23">
        <f t="shared" si="75"/>
        <v>1575.4240000000002</v>
      </c>
      <c r="F71" s="23">
        <f t="shared" si="68"/>
        <v>-1100.1399999999999</v>
      </c>
      <c r="G71" s="23">
        <f>SUMIFS(FII_DII_raw_synthetic_Jan_Jun2026[Net_Flow_Cr], FII_DII_raw_synthetic_Jan_Jun2026[Date], $A71, FII_DII_raw_synthetic_Jan_Jun2026[Entity_Type], "FII", FII_DII_raw_synthetic_Jan_Jun2026[Sector], G$1)</f>
        <v>0</v>
      </c>
      <c r="H71" s="23">
        <f>SUMIFS(FII_DII_raw_synthetic_Jan_Jun2026[Net_Flow_Cr], FII_DII_raw_synthetic_Jan_Jun2026[Date], $A71, FII_DII_raw_synthetic_Jan_Jun2026[Entity_Type], "FII", FII_DII_raw_synthetic_Jan_Jun2026[Sector], H$1)</f>
        <v>0</v>
      </c>
      <c r="I71" s="23">
        <f>SUMIFS(FII_DII_raw_synthetic_Jan_Jun2026[Net_Flow_Cr], FII_DII_raw_synthetic_Jan_Jun2026[Date], $A71, FII_DII_raw_synthetic_Jan_Jun2026[Entity_Type], "FII", FII_DII_raw_synthetic_Jan_Jun2026[Sector], I$1)</f>
        <v>-838.79</v>
      </c>
      <c r="J71" s="23">
        <f>SUMIFS(FII_DII_raw_synthetic_Jan_Jun2026[Net_Flow_Cr], FII_DII_raw_synthetic_Jan_Jun2026[Date], $A71, FII_DII_raw_synthetic_Jan_Jun2026[Entity_Type], "FII", FII_DII_raw_synthetic_Jan_Jun2026[Sector], J$1)</f>
        <v>0</v>
      </c>
      <c r="K71" s="23">
        <f>SUMIFS(FII_DII_raw_synthetic_Jan_Jun2026[Net_Flow_Cr], FII_DII_raw_synthetic_Jan_Jun2026[Date], $A71, FII_DII_raw_synthetic_Jan_Jun2026[Entity_Type], "FII", FII_DII_raw_synthetic_Jan_Jun2026[Sector], K$1)</f>
        <v>0</v>
      </c>
      <c r="L71" s="23">
        <f>SUMIFS(FII_DII_raw_synthetic_Jan_Jun2026[Net_Flow_Cr], FII_DII_raw_synthetic_Jan_Jun2026[Date], $A71, FII_DII_raw_synthetic_Jan_Jun2026[Entity_Type], "FII", FII_DII_raw_synthetic_Jan_Jun2026[Sector], L$1)</f>
        <v>0</v>
      </c>
      <c r="M71" s="23">
        <f>SUMIFS(FII_DII_raw_synthetic_Jan_Jun2026[Net_Flow_Cr], FII_DII_raw_synthetic_Jan_Jun2026[Date], $A71, FII_DII_raw_synthetic_Jan_Jun2026[Entity_Type], "FII", FII_DII_raw_synthetic_Jan_Jun2026[Sector], M$1)</f>
        <v>-1204</v>
      </c>
      <c r="N71" s="23">
        <f>SUMIFS(FII_DII_raw_synthetic_Jan_Jun2026[Net_Flow_Cr], FII_DII_raw_synthetic_Jan_Jun2026[Date], $A71, FII_DII_raw_synthetic_Jan_Jun2026[Entity_Type], "FII", FII_DII_raw_synthetic_Jan_Jun2026[Sector], N$1)</f>
        <v>349.69</v>
      </c>
      <c r="O71" s="23">
        <f>SUMIFS(FII_DII_raw_synthetic_Jan_Jun2026[Net_Flow_Cr], FII_DII_raw_synthetic_Jan_Jun2026[Date], $A71, FII_DII_raw_synthetic_Jan_Jun2026[Entity_Type], "FII", FII_DII_raw_synthetic_Jan_Jun2026[Sector], O$1)</f>
        <v>0</v>
      </c>
      <c r="P71" s="23">
        <f>SUMIFS(FII_DII_raw_synthetic_Jan_Jun2026[Net_Flow_Cr], FII_DII_raw_synthetic_Jan_Jun2026[Date], $A71, FII_DII_raw_synthetic_Jan_Jun2026[Entity_Type], "FII", FII_DII_raw_synthetic_Jan_Jun2026[Sector], P$1)</f>
        <v>639.48</v>
      </c>
      <c r="Q71" s="23" cm="1">
        <f t="array" ref="Q71">SUMPRODUCT(ABS(G71:P71))</f>
        <v>3031.96</v>
      </c>
      <c r="R71" s="23" cm="1">
        <f t="array" ref="R71">LARGE(ABS(G71:P71),1)+LARGE(ABS(G71:P71),2)</f>
        <v>2042.79</v>
      </c>
      <c r="S71" s="25">
        <f t="shared" si="69"/>
        <v>0.67375229224659949</v>
      </c>
      <c r="T71" s="23">
        <f>IFERROR(_xlfn.XLOOKUP(A71, 'Nifty 50 Historical Data'!A:A, 'Nifty 50 Historical Data'!G:G), "")</f>
        <v>-0.93</v>
      </c>
      <c r="W71" t="str">
        <f t="shared" si="70"/>
        <v>Divergent Flow</v>
      </c>
      <c r="Y71">
        <f t="shared" si="71"/>
        <v>15</v>
      </c>
    </row>
    <row r="72" spans="1:25">
      <c r="A72" s="24">
        <v>46122</v>
      </c>
      <c r="B72" s="23">
        <f>SUMIFS(FII_DII_raw_synthetic_Jan_Jun2026[Net_Flow_Cr], FII_DII_raw_synthetic_Jan_Jun2026[Date], A72, FII_DII_raw_synthetic_Jan_Jun2026[Entity_Type], "FII")</f>
        <v>282.28999999999996</v>
      </c>
      <c r="C72" s="23">
        <f>SUMIFS(FII_DII_raw_synthetic_Jan_Jun2026[Net_Flow_Cr], FII_DII_raw_synthetic_Jan_Jun2026[Date], A72, FII_DII_raw_synthetic_Jan_Jun2026[Entity_Type], "DII")</f>
        <v>-529.96</v>
      </c>
      <c r="D72" s="23">
        <f t="shared" ref="D72:E72" si="76">AVERAGE(B68:B72)</f>
        <v>889.88399999999979</v>
      </c>
      <c r="E72" s="23">
        <f t="shared" si="76"/>
        <v>1462.9140000000002</v>
      </c>
      <c r="F72" s="23">
        <f t="shared" si="68"/>
        <v>-247.67000000000007</v>
      </c>
      <c r="G72" s="23">
        <f>SUMIFS(FII_DII_raw_synthetic_Jan_Jun2026[Net_Flow_Cr], FII_DII_raw_synthetic_Jan_Jun2026[Date], $A72, FII_DII_raw_synthetic_Jan_Jun2026[Entity_Type], "FII", FII_DII_raw_synthetic_Jan_Jun2026[Sector], G$1)</f>
        <v>-679.98</v>
      </c>
      <c r="H72" s="23">
        <f>SUMIFS(FII_DII_raw_synthetic_Jan_Jun2026[Net_Flow_Cr], FII_DII_raw_synthetic_Jan_Jun2026[Date], $A72, FII_DII_raw_synthetic_Jan_Jun2026[Entity_Type], "FII", FII_DII_raw_synthetic_Jan_Jun2026[Sector], H$1)</f>
        <v>0</v>
      </c>
      <c r="I72" s="23">
        <f>SUMIFS(FII_DII_raw_synthetic_Jan_Jun2026[Net_Flow_Cr], FII_DII_raw_synthetic_Jan_Jun2026[Date], $A72, FII_DII_raw_synthetic_Jan_Jun2026[Entity_Type], "FII", FII_DII_raw_synthetic_Jan_Jun2026[Sector], I$1)</f>
        <v>145.4</v>
      </c>
      <c r="J72" s="23">
        <f>SUMIFS(FII_DII_raw_synthetic_Jan_Jun2026[Net_Flow_Cr], FII_DII_raw_synthetic_Jan_Jun2026[Date], $A72, FII_DII_raw_synthetic_Jan_Jun2026[Entity_Type], "FII", FII_DII_raw_synthetic_Jan_Jun2026[Sector], J$1)</f>
        <v>0</v>
      </c>
      <c r="K72" s="23">
        <f>SUMIFS(FII_DII_raw_synthetic_Jan_Jun2026[Net_Flow_Cr], FII_DII_raw_synthetic_Jan_Jun2026[Date], $A72, FII_DII_raw_synthetic_Jan_Jun2026[Entity_Type], "FII", FII_DII_raw_synthetic_Jan_Jun2026[Sector], K$1)</f>
        <v>-814.48</v>
      </c>
      <c r="L72" s="23">
        <f>SUMIFS(FII_DII_raw_synthetic_Jan_Jun2026[Net_Flow_Cr], FII_DII_raw_synthetic_Jan_Jun2026[Date], $A72, FII_DII_raw_synthetic_Jan_Jun2026[Entity_Type], "FII", FII_DII_raw_synthetic_Jan_Jun2026[Sector], L$1)</f>
        <v>0</v>
      </c>
      <c r="M72" s="23">
        <f>SUMIFS(FII_DII_raw_synthetic_Jan_Jun2026[Net_Flow_Cr], FII_DII_raw_synthetic_Jan_Jun2026[Date], $A72, FII_DII_raw_synthetic_Jan_Jun2026[Entity_Type], "FII", FII_DII_raw_synthetic_Jan_Jun2026[Sector], M$1)</f>
        <v>1631.35</v>
      </c>
      <c r="N72" s="23">
        <f>SUMIFS(FII_DII_raw_synthetic_Jan_Jun2026[Net_Flow_Cr], FII_DII_raw_synthetic_Jan_Jun2026[Date], $A72, FII_DII_raw_synthetic_Jan_Jun2026[Entity_Type], "FII", FII_DII_raw_synthetic_Jan_Jun2026[Sector], N$1)</f>
        <v>0</v>
      </c>
      <c r="O72" s="23">
        <f>SUMIFS(FII_DII_raw_synthetic_Jan_Jun2026[Net_Flow_Cr], FII_DII_raw_synthetic_Jan_Jun2026[Date], $A72, FII_DII_raw_synthetic_Jan_Jun2026[Entity_Type], "FII", FII_DII_raw_synthetic_Jan_Jun2026[Sector], O$1)</f>
        <v>0</v>
      </c>
      <c r="P72" s="23">
        <f>SUMIFS(FII_DII_raw_synthetic_Jan_Jun2026[Net_Flow_Cr], FII_DII_raw_synthetic_Jan_Jun2026[Date], $A72, FII_DII_raw_synthetic_Jan_Jun2026[Entity_Type], "FII", FII_DII_raw_synthetic_Jan_Jun2026[Sector], P$1)</f>
        <v>0</v>
      </c>
      <c r="Q72" s="23" cm="1">
        <f t="array" ref="Q72">SUMPRODUCT(ABS(G72:P72))</f>
        <v>3271.21</v>
      </c>
      <c r="R72" s="23" cm="1">
        <f t="array" ref="R72">LARGE(ABS(G72:P72),1)+LARGE(ABS(G72:P72),2)</f>
        <v>2445.83</v>
      </c>
      <c r="S72" s="25">
        <f t="shared" si="69"/>
        <v>0.74768357885919889</v>
      </c>
      <c r="T72" s="23">
        <f>IFERROR(_xlfn.XLOOKUP(A72, 'Nifty 50 Historical Data'!A:A, 'Nifty 50 Historical Data'!G:G), "")</f>
        <v>1.1599999999999999</v>
      </c>
      <c r="W72" t="str">
        <f t="shared" si="70"/>
        <v>Divergent Flow</v>
      </c>
      <c r="Y72">
        <f t="shared" si="71"/>
        <v>15</v>
      </c>
    </row>
    <row r="73" spans="1:25">
      <c r="A73" s="24">
        <v>46125</v>
      </c>
      <c r="B73" s="23">
        <f>SUMIFS(FII_DII_raw_synthetic_Jan_Jun2026[Net_Flow_Cr], FII_DII_raw_synthetic_Jan_Jun2026[Date], A73, FII_DII_raw_synthetic_Jan_Jun2026[Entity_Type], "FII")</f>
        <v>-679.66000000000008</v>
      </c>
      <c r="C73" s="23">
        <f>SUMIFS(FII_DII_raw_synthetic_Jan_Jun2026[Net_Flow_Cr], FII_DII_raw_synthetic_Jan_Jun2026[Date], A73, FII_DII_raw_synthetic_Jan_Jun2026[Entity_Type], "DII")</f>
        <v>-4018.2999999999997</v>
      </c>
      <c r="D73" s="23">
        <f t="shared" ref="D73:E73" si="77">AVERAGE(B69:B73)</f>
        <v>568.93600000000004</v>
      </c>
      <c r="E73" s="23">
        <f t="shared" si="77"/>
        <v>110.27799999999998</v>
      </c>
      <c r="F73" s="23">
        <f t="shared" si="68"/>
        <v>-3338.6399999999994</v>
      </c>
      <c r="G73" s="23">
        <f>SUMIFS(FII_DII_raw_synthetic_Jan_Jun2026[Net_Flow_Cr], FII_DII_raw_synthetic_Jan_Jun2026[Date], $A73, FII_DII_raw_synthetic_Jan_Jun2026[Entity_Type], "FII", FII_DII_raw_synthetic_Jan_Jun2026[Sector], G$1)</f>
        <v>0</v>
      </c>
      <c r="H73" s="23">
        <f>SUMIFS(FII_DII_raw_synthetic_Jan_Jun2026[Net_Flow_Cr], FII_DII_raw_synthetic_Jan_Jun2026[Date], $A73, FII_DII_raw_synthetic_Jan_Jun2026[Entity_Type], "FII", FII_DII_raw_synthetic_Jan_Jun2026[Sector], H$1)</f>
        <v>0</v>
      </c>
      <c r="I73" s="23">
        <f>SUMIFS(FII_DII_raw_synthetic_Jan_Jun2026[Net_Flow_Cr], FII_DII_raw_synthetic_Jan_Jun2026[Date], $A73, FII_DII_raw_synthetic_Jan_Jun2026[Entity_Type], "FII", FII_DII_raw_synthetic_Jan_Jun2026[Sector], I$1)</f>
        <v>0</v>
      </c>
      <c r="J73" s="23">
        <f>SUMIFS(FII_DII_raw_synthetic_Jan_Jun2026[Net_Flow_Cr], FII_DII_raw_synthetic_Jan_Jun2026[Date], $A73, FII_DII_raw_synthetic_Jan_Jun2026[Entity_Type], "FII", FII_DII_raw_synthetic_Jan_Jun2026[Sector], J$1)</f>
        <v>0</v>
      </c>
      <c r="K73" s="23">
        <f>SUMIFS(FII_DII_raw_synthetic_Jan_Jun2026[Net_Flow_Cr], FII_DII_raw_synthetic_Jan_Jun2026[Date], $A73, FII_DII_raw_synthetic_Jan_Jun2026[Entity_Type], "FII", FII_DII_raw_synthetic_Jan_Jun2026[Sector], K$1)</f>
        <v>0</v>
      </c>
      <c r="L73" s="23">
        <f>SUMIFS(FII_DII_raw_synthetic_Jan_Jun2026[Net_Flow_Cr], FII_DII_raw_synthetic_Jan_Jun2026[Date], $A73, FII_DII_raw_synthetic_Jan_Jun2026[Entity_Type], "FII", FII_DII_raw_synthetic_Jan_Jun2026[Sector], L$1)</f>
        <v>-319.79000000000002</v>
      </c>
      <c r="M73" s="23">
        <f>SUMIFS(FII_DII_raw_synthetic_Jan_Jun2026[Net_Flow_Cr], FII_DII_raw_synthetic_Jan_Jun2026[Date], $A73, FII_DII_raw_synthetic_Jan_Jun2026[Entity_Type], "FII", FII_DII_raw_synthetic_Jan_Jun2026[Sector], M$1)</f>
        <v>0</v>
      </c>
      <c r="N73" s="23">
        <f>SUMIFS(FII_DII_raw_synthetic_Jan_Jun2026[Net_Flow_Cr], FII_DII_raw_synthetic_Jan_Jun2026[Date], $A73, FII_DII_raw_synthetic_Jan_Jun2026[Entity_Type], "FII", FII_DII_raw_synthetic_Jan_Jun2026[Sector], N$1)</f>
        <v>81.94</v>
      </c>
      <c r="O73" s="23">
        <f>SUMIFS(FII_DII_raw_synthetic_Jan_Jun2026[Net_Flow_Cr], FII_DII_raw_synthetic_Jan_Jun2026[Date], $A73, FII_DII_raw_synthetic_Jan_Jun2026[Entity_Type], "FII", FII_DII_raw_synthetic_Jan_Jun2026[Sector], O$1)</f>
        <v>-441.81</v>
      </c>
      <c r="P73" s="23">
        <f>SUMIFS(FII_DII_raw_synthetic_Jan_Jun2026[Net_Flow_Cr], FII_DII_raw_synthetic_Jan_Jun2026[Date], $A73, FII_DII_raw_synthetic_Jan_Jun2026[Entity_Type], "FII", FII_DII_raw_synthetic_Jan_Jun2026[Sector], P$1)</f>
        <v>0</v>
      </c>
      <c r="Q73" s="23" cm="1">
        <f t="array" ref="Q73">SUMPRODUCT(ABS(G73:P73))</f>
        <v>843.54</v>
      </c>
      <c r="R73" s="23" cm="1">
        <f t="array" ref="R73">LARGE(ABS(G73:P73),1)+LARGE(ABS(G73:P73),2)</f>
        <v>761.6</v>
      </c>
      <c r="S73" s="25">
        <f t="shared" si="69"/>
        <v>0.90286174929463936</v>
      </c>
      <c r="T73" s="23">
        <f>IFERROR(_xlfn.XLOOKUP(A73, 'Nifty 50 Historical Data'!A:A, 'Nifty 50 Historical Data'!G:G), "")</f>
        <v>-0.86</v>
      </c>
      <c r="W73" t="str">
        <f t="shared" si="70"/>
        <v>Aligned Flow</v>
      </c>
      <c r="Y73">
        <f t="shared" si="71"/>
        <v>16</v>
      </c>
    </row>
    <row r="74" spans="1:25">
      <c r="A74" s="24">
        <v>46127</v>
      </c>
      <c r="B74" s="23">
        <f>SUMIFS(FII_DII_raw_synthetic_Jan_Jun2026[Net_Flow_Cr], FII_DII_raw_synthetic_Jan_Jun2026[Date], A74, FII_DII_raw_synthetic_Jan_Jun2026[Entity_Type], "FII")</f>
        <v>1613.0400000000002</v>
      </c>
      <c r="C74" s="23">
        <f>SUMIFS(FII_DII_raw_synthetic_Jan_Jun2026[Net_Flow_Cr], FII_DII_raw_synthetic_Jan_Jun2026[Date], A74, FII_DII_raw_synthetic_Jan_Jun2026[Entity_Type], "DII")</f>
        <v>271.07999999999993</v>
      </c>
      <c r="D74" s="23">
        <f t="shared" ref="D74:E74" si="78">AVERAGE(B70:B74)</f>
        <v>104.33200000000002</v>
      </c>
      <c r="E74" s="23">
        <f t="shared" si="78"/>
        <v>186.45200000000014</v>
      </c>
      <c r="F74" s="23">
        <f t="shared" si="68"/>
        <v>1341.9600000000003</v>
      </c>
      <c r="G74" s="23">
        <f>SUMIFS(FII_DII_raw_synthetic_Jan_Jun2026[Net_Flow_Cr], FII_DII_raw_synthetic_Jan_Jun2026[Date], $A74, FII_DII_raw_synthetic_Jan_Jun2026[Entity_Type], "FII", FII_DII_raw_synthetic_Jan_Jun2026[Sector], G$1)</f>
        <v>0</v>
      </c>
      <c r="H74" s="23">
        <f>SUMIFS(FII_DII_raw_synthetic_Jan_Jun2026[Net_Flow_Cr], FII_DII_raw_synthetic_Jan_Jun2026[Date], $A74, FII_DII_raw_synthetic_Jan_Jun2026[Entity_Type], "FII", FII_DII_raw_synthetic_Jan_Jun2026[Sector], H$1)</f>
        <v>1536.66</v>
      </c>
      <c r="I74" s="23">
        <f>SUMIFS(FII_DII_raw_synthetic_Jan_Jun2026[Net_Flow_Cr], FII_DII_raw_synthetic_Jan_Jun2026[Date], $A74, FII_DII_raw_synthetic_Jan_Jun2026[Entity_Type], "FII", FII_DII_raw_synthetic_Jan_Jun2026[Sector], I$1)</f>
        <v>0</v>
      </c>
      <c r="J74" s="23">
        <f>SUMIFS(FII_DII_raw_synthetic_Jan_Jun2026[Net_Flow_Cr], FII_DII_raw_synthetic_Jan_Jun2026[Date], $A74, FII_DII_raw_synthetic_Jan_Jun2026[Entity_Type], "FII", FII_DII_raw_synthetic_Jan_Jun2026[Sector], J$1)</f>
        <v>0</v>
      </c>
      <c r="K74" s="23">
        <f>SUMIFS(FII_DII_raw_synthetic_Jan_Jun2026[Net_Flow_Cr], FII_DII_raw_synthetic_Jan_Jun2026[Date], $A74, FII_DII_raw_synthetic_Jan_Jun2026[Entity_Type], "FII", FII_DII_raw_synthetic_Jan_Jun2026[Sector], K$1)</f>
        <v>0</v>
      </c>
      <c r="L74" s="23">
        <f>SUMIFS(FII_DII_raw_synthetic_Jan_Jun2026[Net_Flow_Cr], FII_DII_raw_synthetic_Jan_Jun2026[Date], $A74, FII_DII_raw_synthetic_Jan_Jun2026[Entity_Type], "FII", FII_DII_raw_synthetic_Jan_Jun2026[Sector], L$1)</f>
        <v>-499.11</v>
      </c>
      <c r="M74" s="23">
        <f>SUMIFS(FII_DII_raw_synthetic_Jan_Jun2026[Net_Flow_Cr], FII_DII_raw_synthetic_Jan_Jun2026[Date], $A74, FII_DII_raw_synthetic_Jan_Jun2026[Entity_Type], "FII", FII_DII_raw_synthetic_Jan_Jun2026[Sector], M$1)</f>
        <v>575.49</v>
      </c>
      <c r="N74" s="23">
        <f>SUMIFS(FII_DII_raw_synthetic_Jan_Jun2026[Net_Flow_Cr], FII_DII_raw_synthetic_Jan_Jun2026[Date], $A74, FII_DII_raw_synthetic_Jan_Jun2026[Entity_Type], "FII", FII_DII_raw_synthetic_Jan_Jun2026[Sector], N$1)</f>
        <v>0</v>
      </c>
      <c r="O74" s="23">
        <f>SUMIFS(FII_DII_raw_synthetic_Jan_Jun2026[Net_Flow_Cr], FII_DII_raw_synthetic_Jan_Jun2026[Date], $A74, FII_DII_raw_synthetic_Jan_Jun2026[Entity_Type], "FII", FII_DII_raw_synthetic_Jan_Jun2026[Sector], O$1)</f>
        <v>0</v>
      </c>
      <c r="P74" s="23">
        <f>SUMIFS(FII_DII_raw_synthetic_Jan_Jun2026[Net_Flow_Cr], FII_DII_raw_synthetic_Jan_Jun2026[Date], $A74, FII_DII_raw_synthetic_Jan_Jun2026[Entity_Type], "FII", FII_DII_raw_synthetic_Jan_Jun2026[Sector], P$1)</f>
        <v>0</v>
      </c>
      <c r="Q74" s="23" cm="1">
        <f t="array" ref="Q74">SUMPRODUCT(ABS(G74:P74))</f>
        <v>2611.2600000000002</v>
      </c>
      <c r="R74" s="23" cm="1">
        <f t="array" ref="R74">LARGE(ABS(G74:P74),1)+LARGE(ABS(G74:P74),2)</f>
        <v>2112.15</v>
      </c>
      <c r="S74" s="25">
        <f t="shared" si="69"/>
        <v>0.80886238827232826</v>
      </c>
      <c r="T74" s="23">
        <f>IFERROR(_xlfn.XLOOKUP(A74, 'Nifty 50 Historical Data'!A:A, 'Nifty 50 Historical Data'!G:G), "")</f>
        <v>1.63</v>
      </c>
      <c r="W74" t="str">
        <f t="shared" si="70"/>
        <v>Aligned Flow</v>
      </c>
      <c r="Y74">
        <f t="shared" si="71"/>
        <v>16</v>
      </c>
    </row>
    <row r="75" spans="1:25">
      <c r="A75" s="24">
        <v>46128</v>
      </c>
      <c r="B75" s="23">
        <f>SUMIFS(FII_DII_raw_synthetic_Jan_Jun2026[Net_Flow_Cr], FII_DII_raw_synthetic_Jan_Jun2026[Date], A75, FII_DII_raw_synthetic_Jan_Jun2026[Entity_Type], "FII")</f>
        <v>2624.03</v>
      </c>
      <c r="C75" s="23">
        <f>SUMIFS(FII_DII_raw_synthetic_Jan_Jun2026[Net_Flow_Cr], FII_DII_raw_synthetic_Jan_Jun2026[Date], A75, FII_DII_raw_synthetic_Jan_Jun2026[Entity_Type], "DII")</f>
        <v>374.62999999999988</v>
      </c>
      <c r="D75" s="23">
        <f t="shared" ref="D75:E75" si="79">AVERAGE(B71:B75)</f>
        <v>557.21600000000012</v>
      </c>
      <c r="E75" s="23">
        <f t="shared" si="79"/>
        <v>-349.75800000000004</v>
      </c>
      <c r="F75" s="23">
        <f t="shared" si="68"/>
        <v>2249.4000000000005</v>
      </c>
      <c r="G75" s="23">
        <f>SUMIFS(FII_DII_raw_synthetic_Jan_Jun2026[Net_Flow_Cr], FII_DII_raw_synthetic_Jan_Jun2026[Date], $A75, FII_DII_raw_synthetic_Jan_Jun2026[Entity_Type], "FII", FII_DII_raw_synthetic_Jan_Jun2026[Sector], G$1)</f>
        <v>0</v>
      </c>
      <c r="H75" s="23">
        <f>SUMIFS(FII_DII_raw_synthetic_Jan_Jun2026[Net_Flow_Cr], FII_DII_raw_synthetic_Jan_Jun2026[Date], $A75, FII_DII_raw_synthetic_Jan_Jun2026[Entity_Type], "FII", FII_DII_raw_synthetic_Jan_Jun2026[Sector], H$1)</f>
        <v>0</v>
      </c>
      <c r="I75" s="23">
        <f>SUMIFS(FII_DII_raw_synthetic_Jan_Jun2026[Net_Flow_Cr], FII_DII_raw_synthetic_Jan_Jun2026[Date], $A75, FII_DII_raw_synthetic_Jan_Jun2026[Entity_Type], "FII", FII_DII_raw_synthetic_Jan_Jun2026[Sector], I$1)</f>
        <v>0</v>
      </c>
      <c r="J75" s="23">
        <f>SUMIFS(FII_DII_raw_synthetic_Jan_Jun2026[Net_Flow_Cr], FII_DII_raw_synthetic_Jan_Jun2026[Date], $A75, FII_DII_raw_synthetic_Jan_Jun2026[Entity_Type], "FII", FII_DII_raw_synthetic_Jan_Jun2026[Sector], J$1)</f>
        <v>0</v>
      </c>
      <c r="K75" s="23">
        <f>SUMIFS(FII_DII_raw_synthetic_Jan_Jun2026[Net_Flow_Cr], FII_DII_raw_synthetic_Jan_Jun2026[Date], $A75, FII_DII_raw_synthetic_Jan_Jun2026[Entity_Type], "FII", FII_DII_raw_synthetic_Jan_Jun2026[Sector], K$1)</f>
        <v>0</v>
      </c>
      <c r="L75" s="23">
        <f>SUMIFS(FII_DII_raw_synthetic_Jan_Jun2026[Net_Flow_Cr], FII_DII_raw_synthetic_Jan_Jun2026[Date], $A75, FII_DII_raw_synthetic_Jan_Jun2026[Entity_Type], "FII", FII_DII_raw_synthetic_Jan_Jun2026[Sector], L$1)</f>
        <v>0</v>
      </c>
      <c r="M75" s="23">
        <f>SUMIFS(FII_DII_raw_synthetic_Jan_Jun2026[Net_Flow_Cr], FII_DII_raw_synthetic_Jan_Jun2026[Date], $A75, FII_DII_raw_synthetic_Jan_Jun2026[Entity_Type], "FII", FII_DII_raw_synthetic_Jan_Jun2026[Sector], M$1)</f>
        <v>291.43</v>
      </c>
      <c r="N75" s="23">
        <f>SUMIFS(FII_DII_raw_synthetic_Jan_Jun2026[Net_Flow_Cr], FII_DII_raw_synthetic_Jan_Jun2026[Date], $A75, FII_DII_raw_synthetic_Jan_Jun2026[Entity_Type], "FII", FII_DII_raw_synthetic_Jan_Jun2026[Sector], N$1)</f>
        <v>1454</v>
      </c>
      <c r="O75" s="23">
        <f>SUMIFS(FII_DII_raw_synthetic_Jan_Jun2026[Net_Flow_Cr], FII_DII_raw_synthetic_Jan_Jun2026[Date], $A75, FII_DII_raw_synthetic_Jan_Jun2026[Entity_Type], "FII", FII_DII_raw_synthetic_Jan_Jun2026[Sector], O$1)</f>
        <v>0</v>
      </c>
      <c r="P75" s="23">
        <f>SUMIFS(FII_DII_raw_synthetic_Jan_Jun2026[Net_Flow_Cr], FII_DII_raw_synthetic_Jan_Jun2026[Date], $A75, FII_DII_raw_synthetic_Jan_Jun2026[Entity_Type], "FII", FII_DII_raw_synthetic_Jan_Jun2026[Sector], P$1)</f>
        <v>878.6</v>
      </c>
      <c r="Q75" s="23" cm="1">
        <f t="array" ref="Q75">SUMPRODUCT(ABS(G75:P75))</f>
        <v>2624.03</v>
      </c>
      <c r="R75" s="23" cm="1">
        <f t="array" ref="R75">LARGE(ABS(G75:P75),1)+LARGE(ABS(G75:P75),2)</f>
        <v>2332.6</v>
      </c>
      <c r="S75" s="25">
        <f t="shared" si="69"/>
        <v>0.88893800756851094</v>
      </c>
      <c r="T75" s="23">
        <f>IFERROR(_xlfn.XLOOKUP(A75, 'Nifty 50 Historical Data'!A:A, 'Nifty 50 Historical Data'!G:G), "")</f>
        <v>-0.14000000000000001</v>
      </c>
      <c r="W75" t="str">
        <f t="shared" si="70"/>
        <v>Strong FII Buying</v>
      </c>
      <c r="Y75">
        <f t="shared" si="71"/>
        <v>16</v>
      </c>
    </row>
    <row r="76" spans="1:25">
      <c r="A76" s="24">
        <v>46129</v>
      </c>
      <c r="B76" s="23">
        <f>SUMIFS(FII_DII_raw_synthetic_Jan_Jun2026[Net_Flow_Cr], FII_DII_raw_synthetic_Jan_Jun2026[Date], A76, FII_DII_raw_synthetic_Jan_Jun2026[Entity_Type], "FII")</f>
        <v>259.33999999999997</v>
      </c>
      <c r="C76" s="23">
        <f>SUMIFS(FII_DII_raw_synthetic_Jan_Jun2026[Net_Flow_Cr], FII_DII_raw_synthetic_Jan_Jun2026[Date], A76, FII_DII_raw_synthetic_Jan_Jun2026[Entity_Type], "DII")</f>
        <v>304.99</v>
      </c>
      <c r="D76" s="23">
        <f t="shared" ref="D76:E76" si="80">AVERAGE(B72:B76)</f>
        <v>819.80799999999999</v>
      </c>
      <c r="E76" s="23">
        <f t="shared" si="80"/>
        <v>-719.51200000000006</v>
      </c>
      <c r="F76" s="23">
        <f t="shared" si="68"/>
        <v>-45.650000000000034</v>
      </c>
      <c r="G76" s="23">
        <f>SUMIFS(FII_DII_raw_synthetic_Jan_Jun2026[Net_Flow_Cr], FII_DII_raw_synthetic_Jan_Jun2026[Date], $A76, FII_DII_raw_synthetic_Jan_Jun2026[Entity_Type], "FII", FII_DII_raw_synthetic_Jan_Jun2026[Sector], G$1)</f>
        <v>0</v>
      </c>
      <c r="H76" s="23">
        <f>SUMIFS(FII_DII_raw_synthetic_Jan_Jun2026[Net_Flow_Cr], FII_DII_raw_synthetic_Jan_Jun2026[Date], $A76, FII_DII_raw_synthetic_Jan_Jun2026[Entity_Type], "FII", FII_DII_raw_synthetic_Jan_Jun2026[Sector], H$1)</f>
        <v>0</v>
      </c>
      <c r="I76" s="23">
        <f>SUMIFS(FII_DII_raw_synthetic_Jan_Jun2026[Net_Flow_Cr], FII_DII_raw_synthetic_Jan_Jun2026[Date], $A76, FII_DII_raw_synthetic_Jan_Jun2026[Entity_Type], "FII", FII_DII_raw_synthetic_Jan_Jun2026[Sector], I$1)</f>
        <v>-152.44</v>
      </c>
      <c r="J76" s="23">
        <f>SUMIFS(FII_DII_raw_synthetic_Jan_Jun2026[Net_Flow_Cr], FII_DII_raw_synthetic_Jan_Jun2026[Date], $A76, FII_DII_raw_synthetic_Jan_Jun2026[Entity_Type], "FII", FII_DII_raw_synthetic_Jan_Jun2026[Sector], J$1)</f>
        <v>0</v>
      </c>
      <c r="K76" s="23">
        <f>SUMIFS(FII_DII_raw_synthetic_Jan_Jun2026[Net_Flow_Cr], FII_DII_raw_synthetic_Jan_Jun2026[Date], $A76, FII_DII_raw_synthetic_Jan_Jun2026[Entity_Type], "FII", FII_DII_raw_synthetic_Jan_Jun2026[Sector], K$1)</f>
        <v>-1221.78</v>
      </c>
      <c r="L76" s="23">
        <f>SUMIFS(FII_DII_raw_synthetic_Jan_Jun2026[Net_Flow_Cr], FII_DII_raw_synthetic_Jan_Jun2026[Date], $A76, FII_DII_raw_synthetic_Jan_Jun2026[Entity_Type], "FII", FII_DII_raw_synthetic_Jan_Jun2026[Sector], L$1)</f>
        <v>0</v>
      </c>
      <c r="M76" s="23">
        <f>SUMIFS(FII_DII_raw_synthetic_Jan_Jun2026[Net_Flow_Cr], FII_DII_raw_synthetic_Jan_Jun2026[Date], $A76, FII_DII_raw_synthetic_Jan_Jun2026[Entity_Type], "FII", FII_DII_raw_synthetic_Jan_Jun2026[Sector], M$1)</f>
        <v>0</v>
      </c>
      <c r="N76" s="23">
        <f>SUMIFS(FII_DII_raw_synthetic_Jan_Jun2026[Net_Flow_Cr], FII_DII_raw_synthetic_Jan_Jun2026[Date], $A76, FII_DII_raw_synthetic_Jan_Jun2026[Entity_Type], "FII", FII_DII_raw_synthetic_Jan_Jun2026[Sector], N$1)</f>
        <v>0</v>
      </c>
      <c r="O76" s="23">
        <f>SUMIFS(FII_DII_raw_synthetic_Jan_Jun2026[Net_Flow_Cr], FII_DII_raw_synthetic_Jan_Jun2026[Date], $A76, FII_DII_raw_synthetic_Jan_Jun2026[Entity_Type], "FII", FII_DII_raw_synthetic_Jan_Jun2026[Sector], O$1)</f>
        <v>1633.56</v>
      </c>
      <c r="P76" s="23">
        <f>SUMIFS(FII_DII_raw_synthetic_Jan_Jun2026[Net_Flow_Cr], FII_DII_raw_synthetic_Jan_Jun2026[Date], $A76, FII_DII_raw_synthetic_Jan_Jun2026[Entity_Type], "FII", FII_DII_raw_synthetic_Jan_Jun2026[Sector], P$1)</f>
        <v>0</v>
      </c>
      <c r="Q76" s="23" cm="1">
        <f t="array" ref="Q76">SUMPRODUCT(ABS(G76:P76))</f>
        <v>3007.7799999999997</v>
      </c>
      <c r="R76" s="23" cm="1">
        <f t="array" ref="R76">LARGE(ABS(G76:P76),1)+LARGE(ABS(G76:P76),2)</f>
        <v>2855.34</v>
      </c>
      <c r="S76" s="25">
        <f t="shared" si="69"/>
        <v>0.94931810172286546</v>
      </c>
      <c r="T76" s="23">
        <f>IFERROR(_xlfn.XLOOKUP(A76, 'Nifty 50 Historical Data'!A:A, 'Nifty 50 Historical Data'!G:G), "")</f>
        <v>0.65</v>
      </c>
      <c r="W76" t="str">
        <f t="shared" si="70"/>
        <v>Aligned Flow</v>
      </c>
      <c r="Y76">
        <f t="shared" si="71"/>
        <v>16</v>
      </c>
    </row>
    <row r="77" spans="1:25">
      <c r="A77" s="24">
        <v>46132</v>
      </c>
      <c r="B77" s="23">
        <f>SUMIFS(FII_DII_raw_synthetic_Jan_Jun2026[Net_Flow_Cr], FII_DII_raw_synthetic_Jan_Jun2026[Date], A77, FII_DII_raw_synthetic_Jan_Jun2026[Entity_Type], "FII")</f>
        <v>-2587.6499999999996</v>
      </c>
      <c r="C77" s="23">
        <f>SUMIFS(FII_DII_raw_synthetic_Jan_Jun2026[Net_Flow_Cr], FII_DII_raw_synthetic_Jan_Jun2026[Date], A77, FII_DII_raw_synthetic_Jan_Jun2026[Entity_Type], "DII")</f>
        <v>1196.8900000000001</v>
      </c>
      <c r="D77" s="23">
        <f t="shared" ref="D77:E77" si="81">AVERAGE(B73:B77)</f>
        <v>245.82000000000016</v>
      </c>
      <c r="E77" s="23">
        <f t="shared" si="81"/>
        <v>-374.14200000000005</v>
      </c>
      <c r="F77" s="23">
        <f t="shared" si="68"/>
        <v>1390.7599999999995</v>
      </c>
      <c r="G77" s="23">
        <f>SUMIFS(FII_DII_raw_synthetic_Jan_Jun2026[Net_Flow_Cr], FII_DII_raw_synthetic_Jan_Jun2026[Date], $A77, FII_DII_raw_synthetic_Jan_Jun2026[Entity_Type], "FII", FII_DII_raw_synthetic_Jan_Jun2026[Sector], G$1)</f>
        <v>0</v>
      </c>
      <c r="H77" s="23">
        <f>SUMIFS(FII_DII_raw_synthetic_Jan_Jun2026[Net_Flow_Cr], FII_DII_raw_synthetic_Jan_Jun2026[Date], $A77, FII_DII_raw_synthetic_Jan_Jun2026[Entity_Type], "FII", FII_DII_raw_synthetic_Jan_Jun2026[Sector], H$1)</f>
        <v>-1471.52</v>
      </c>
      <c r="I77" s="23">
        <f>SUMIFS(FII_DII_raw_synthetic_Jan_Jun2026[Net_Flow_Cr], FII_DII_raw_synthetic_Jan_Jun2026[Date], $A77, FII_DII_raw_synthetic_Jan_Jun2026[Entity_Type], "FII", FII_DII_raw_synthetic_Jan_Jun2026[Sector], I$1)</f>
        <v>0</v>
      </c>
      <c r="J77" s="23">
        <f>SUMIFS(FII_DII_raw_synthetic_Jan_Jun2026[Net_Flow_Cr], FII_DII_raw_synthetic_Jan_Jun2026[Date], $A77, FII_DII_raw_synthetic_Jan_Jun2026[Entity_Type], "FII", FII_DII_raw_synthetic_Jan_Jun2026[Sector], J$1)</f>
        <v>254.72</v>
      </c>
      <c r="K77" s="23">
        <f>SUMIFS(FII_DII_raw_synthetic_Jan_Jun2026[Net_Flow_Cr], FII_DII_raw_synthetic_Jan_Jun2026[Date], $A77, FII_DII_raw_synthetic_Jan_Jun2026[Entity_Type], "FII", FII_DII_raw_synthetic_Jan_Jun2026[Sector], K$1)</f>
        <v>0</v>
      </c>
      <c r="L77" s="23">
        <f>SUMIFS(FII_DII_raw_synthetic_Jan_Jun2026[Net_Flow_Cr], FII_DII_raw_synthetic_Jan_Jun2026[Date], $A77, FII_DII_raw_synthetic_Jan_Jun2026[Entity_Type], "FII", FII_DII_raw_synthetic_Jan_Jun2026[Sector], L$1)</f>
        <v>0</v>
      </c>
      <c r="M77" s="23">
        <f>SUMIFS(FII_DII_raw_synthetic_Jan_Jun2026[Net_Flow_Cr], FII_DII_raw_synthetic_Jan_Jun2026[Date], $A77, FII_DII_raw_synthetic_Jan_Jun2026[Entity_Type], "FII", FII_DII_raw_synthetic_Jan_Jun2026[Sector], M$1)</f>
        <v>0</v>
      </c>
      <c r="N77" s="23">
        <f>SUMIFS(FII_DII_raw_synthetic_Jan_Jun2026[Net_Flow_Cr], FII_DII_raw_synthetic_Jan_Jun2026[Date], $A77, FII_DII_raw_synthetic_Jan_Jun2026[Entity_Type], "FII", FII_DII_raw_synthetic_Jan_Jun2026[Sector], N$1)</f>
        <v>0</v>
      </c>
      <c r="O77" s="23">
        <f>SUMIFS(FII_DII_raw_synthetic_Jan_Jun2026[Net_Flow_Cr], FII_DII_raw_synthetic_Jan_Jun2026[Date], $A77, FII_DII_raw_synthetic_Jan_Jun2026[Entity_Type], "FII", FII_DII_raw_synthetic_Jan_Jun2026[Sector], O$1)</f>
        <v>-1370.85</v>
      </c>
      <c r="P77" s="23">
        <f>SUMIFS(FII_DII_raw_synthetic_Jan_Jun2026[Net_Flow_Cr], FII_DII_raw_synthetic_Jan_Jun2026[Date], $A77, FII_DII_raw_synthetic_Jan_Jun2026[Entity_Type], "FII", FII_DII_raw_synthetic_Jan_Jun2026[Sector], P$1)</f>
        <v>0</v>
      </c>
      <c r="Q77" s="23" cm="1">
        <f t="array" ref="Q77">SUMPRODUCT(ABS(G77:P77))</f>
        <v>3097.09</v>
      </c>
      <c r="R77" s="23" cm="1">
        <f t="array" ref="R77">LARGE(ABS(G77:P77),1)+LARGE(ABS(G77:P77),2)</f>
        <v>2842.37</v>
      </c>
      <c r="S77" s="25">
        <f t="shared" si="69"/>
        <v>0.9177550539377286</v>
      </c>
      <c r="T77" s="23">
        <f>IFERROR(_xlfn.XLOOKUP(A77, 'Nifty 50 Historical Data'!A:A, 'Nifty 50 Historical Data'!G:G), "")</f>
        <v>0.05</v>
      </c>
      <c r="W77" t="str">
        <f t="shared" si="70"/>
        <v>Strong FII Selling</v>
      </c>
      <c r="Y77">
        <f t="shared" si="71"/>
        <v>17</v>
      </c>
    </row>
    <row r="78" spans="1:25">
      <c r="A78" s="24">
        <v>46133</v>
      </c>
      <c r="B78" s="23">
        <f>SUMIFS(FII_DII_raw_synthetic_Jan_Jun2026[Net_Flow_Cr], FII_DII_raw_synthetic_Jan_Jun2026[Date], A78, FII_DII_raw_synthetic_Jan_Jun2026[Entity_Type], "FII")</f>
        <v>-1080.1499999999999</v>
      </c>
      <c r="C78" s="23">
        <f>SUMIFS(FII_DII_raw_synthetic_Jan_Jun2026[Net_Flow_Cr], FII_DII_raw_synthetic_Jan_Jun2026[Date], A78, FII_DII_raw_synthetic_Jan_Jun2026[Entity_Type], "DII")</f>
        <v>1599.49</v>
      </c>
      <c r="D78" s="23">
        <f t="shared" ref="D78:E78" si="82">AVERAGE(B74:B78)</f>
        <v>165.72200000000026</v>
      </c>
      <c r="E78" s="23">
        <f t="shared" si="82"/>
        <v>749.41599999999994</v>
      </c>
      <c r="F78" s="23">
        <f t="shared" si="68"/>
        <v>-519.34000000000015</v>
      </c>
      <c r="G78" s="23">
        <f>SUMIFS(FII_DII_raw_synthetic_Jan_Jun2026[Net_Flow_Cr], FII_DII_raw_synthetic_Jan_Jun2026[Date], $A78, FII_DII_raw_synthetic_Jan_Jun2026[Entity_Type], "FII", FII_DII_raw_synthetic_Jan_Jun2026[Sector], G$1)</f>
        <v>-923.33</v>
      </c>
      <c r="H78" s="23">
        <f>SUMIFS(FII_DII_raw_synthetic_Jan_Jun2026[Net_Flow_Cr], FII_DII_raw_synthetic_Jan_Jun2026[Date], $A78, FII_DII_raw_synthetic_Jan_Jun2026[Entity_Type], "FII", FII_DII_raw_synthetic_Jan_Jun2026[Sector], H$1)</f>
        <v>-513.02</v>
      </c>
      <c r="I78" s="23">
        <f>SUMIFS(FII_DII_raw_synthetic_Jan_Jun2026[Net_Flow_Cr], FII_DII_raw_synthetic_Jan_Jun2026[Date], $A78, FII_DII_raw_synthetic_Jan_Jun2026[Entity_Type], "FII", FII_DII_raw_synthetic_Jan_Jun2026[Sector], I$1)</f>
        <v>0</v>
      </c>
      <c r="J78" s="23">
        <f>SUMIFS(FII_DII_raw_synthetic_Jan_Jun2026[Net_Flow_Cr], FII_DII_raw_synthetic_Jan_Jun2026[Date], $A78, FII_DII_raw_synthetic_Jan_Jun2026[Entity_Type], "FII", FII_DII_raw_synthetic_Jan_Jun2026[Sector], J$1)</f>
        <v>0</v>
      </c>
      <c r="K78" s="23">
        <f>SUMIFS(FII_DII_raw_synthetic_Jan_Jun2026[Net_Flow_Cr], FII_DII_raw_synthetic_Jan_Jun2026[Date], $A78, FII_DII_raw_synthetic_Jan_Jun2026[Entity_Type], "FII", FII_DII_raw_synthetic_Jan_Jun2026[Sector], K$1)</f>
        <v>0</v>
      </c>
      <c r="L78" s="23">
        <f>SUMIFS(FII_DII_raw_synthetic_Jan_Jun2026[Net_Flow_Cr], FII_DII_raw_synthetic_Jan_Jun2026[Date], $A78, FII_DII_raw_synthetic_Jan_Jun2026[Entity_Type], "FII", FII_DII_raw_synthetic_Jan_Jun2026[Sector], L$1)</f>
        <v>0</v>
      </c>
      <c r="M78" s="23">
        <f>SUMIFS(FII_DII_raw_synthetic_Jan_Jun2026[Net_Flow_Cr], FII_DII_raw_synthetic_Jan_Jun2026[Date], $A78, FII_DII_raw_synthetic_Jan_Jun2026[Entity_Type], "FII", FII_DII_raw_synthetic_Jan_Jun2026[Sector], M$1)</f>
        <v>0</v>
      </c>
      <c r="N78" s="23">
        <f>SUMIFS(FII_DII_raw_synthetic_Jan_Jun2026[Net_Flow_Cr], FII_DII_raw_synthetic_Jan_Jun2026[Date], $A78, FII_DII_raw_synthetic_Jan_Jun2026[Entity_Type], "FII", FII_DII_raw_synthetic_Jan_Jun2026[Sector], N$1)</f>
        <v>0</v>
      </c>
      <c r="O78" s="23">
        <f>SUMIFS(FII_DII_raw_synthetic_Jan_Jun2026[Net_Flow_Cr], FII_DII_raw_synthetic_Jan_Jun2026[Date], $A78, FII_DII_raw_synthetic_Jan_Jun2026[Entity_Type], "FII", FII_DII_raw_synthetic_Jan_Jun2026[Sector], O$1)</f>
        <v>389.95</v>
      </c>
      <c r="P78" s="23">
        <f>SUMIFS(FII_DII_raw_synthetic_Jan_Jun2026[Net_Flow_Cr], FII_DII_raw_synthetic_Jan_Jun2026[Date], $A78, FII_DII_raw_synthetic_Jan_Jun2026[Entity_Type], "FII", FII_DII_raw_synthetic_Jan_Jun2026[Sector], P$1)</f>
        <v>-33.75</v>
      </c>
      <c r="Q78" s="23" cm="1">
        <f t="array" ref="Q78">SUMPRODUCT(ABS(G78:P78))</f>
        <v>1860.05</v>
      </c>
      <c r="R78" s="23" cm="1">
        <f t="array" ref="R78">LARGE(ABS(G78:P78),1)+LARGE(ABS(G78:P78),2)</f>
        <v>1436.35</v>
      </c>
      <c r="S78" s="25">
        <f t="shared" si="69"/>
        <v>0.77221042445095556</v>
      </c>
      <c r="T78" s="23">
        <f>IFERROR(_xlfn.XLOOKUP(A78, 'Nifty 50 Historical Data'!A:A, 'Nifty 50 Historical Data'!G:G), "")</f>
        <v>0.87</v>
      </c>
      <c r="W78" t="str">
        <f t="shared" si="70"/>
        <v>Divergent Flow</v>
      </c>
      <c r="Y78">
        <f t="shared" si="71"/>
        <v>17</v>
      </c>
    </row>
    <row r="79" spans="1:25">
      <c r="A79" s="24">
        <v>46134</v>
      </c>
      <c r="B79" s="23">
        <f>SUMIFS(FII_DII_raw_synthetic_Jan_Jun2026[Net_Flow_Cr], FII_DII_raw_synthetic_Jan_Jun2026[Date], A79, FII_DII_raw_synthetic_Jan_Jun2026[Entity_Type], "FII")</f>
        <v>-574.79999999999995</v>
      </c>
      <c r="C79" s="23">
        <f>SUMIFS(FII_DII_raw_synthetic_Jan_Jun2026[Net_Flow_Cr], FII_DII_raw_synthetic_Jan_Jun2026[Date], A79, FII_DII_raw_synthetic_Jan_Jun2026[Entity_Type], "DII")</f>
        <v>415.78999999999985</v>
      </c>
      <c r="D79" s="23">
        <f t="shared" ref="D79:E79" si="83">AVERAGE(B75:B79)</f>
        <v>-271.84599999999983</v>
      </c>
      <c r="E79" s="23">
        <f t="shared" si="83"/>
        <v>778.35799999999995</v>
      </c>
      <c r="F79" s="23">
        <f t="shared" si="68"/>
        <v>159.0100000000001</v>
      </c>
      <c r="G79" s="23">
        <f>SUMIFS(FII_DII_raw_synthetic_Jan_Jun2026[Net_Flow_Cr], FII_DII_raw_synthetic_Jan_Jun2026[Date], $A79, FII_DII_raw_synthetic_Jan_Jun2026[Entity_Type], "FII", FII_DII_raw_synthetic_Jan_Jun2026[Sector], G$1)</f>
        <v>0</v>
      </c>
      <c r="H79" s="23">
        <f>SUMIFS(FII_DII_raw_synthetic_Jan_Jun2026[Net_Flow_Cr], FII_DII_raw_synthetic_Jan_Jun2026[Date], $A79, FII_DII_raw_synthetic_Jan_Jun2026[Entity_Type], "FII", FII_DII_raw_synthetic_Jan_Jun2026[Sector], H$1)</f>
        <v>-1046.8499999999999</v>
      </c>
      <c r="I79" s="23">
        <f>SUMIFS(FII_DII_raw_synthetic_Jan_Jun2026[Net_Flow_Cr], FII_DII_raw_synthetic_Jan_Jun2026[Date], $A79, FII_DII_raw_synthetic_Jan_Jun2026[Entity_Type], "FII", FII_DII_raw_synthetic_Jan_Jun2026[Sector], I$1)</f>
        <v>733.92</v>
      </c>
      <c r="J79" s="23">
        <f>SUMIFS(FII_DII_raw_synthetic_Jan_Jun2026[Net_Flow_Cr], FII_DII_raw_synthetic_Jan_Jun2026[Date], $A79, FII_DII_raw_synthetic_Jan_Jun2026[Entity_Type], "FII", FII_DII_raw_synthetic_Jan_Jun2026[Sector], J$1)</f>
        <v>0</v>
      </c>
      <c r="K79" s="23">
        <f>SUMIFS(FII_DII_raw_synthetic_Jan_Jun2026[Net_Flow_Cr], FII_DII_raw_synthetic_Jan_Jun2026[Date], $A79, FII_DII_raw_synthetic_Jan_Jun2026[Entity_Type], "FII", FII_DII_raw_synthetic_Jan_Jun2026[Sector], K$1)</f>
        <v>0</v>
      </c>
      <c r="L79" s="23">
        <f>SUMIFS(FII_DII_raw_synthetic_Jan_Jun2026[Net_Flow_Cr], FII_DII_raw_synthetic_Jan_Jun2026[Date], $A79, FII_DII_raw_synthetic_Jan_Jun2026[Entity_Type], "FII", FII_DII_raw_synthetic_Jan_Jun2026[Sector], L$1)</f>
        <v>-54.2</v>
      </c>
      <c r="M79" s="23">
        <f>SUMIFS(FII_DII_raw_synthetic_Jan_Jun2026[Net_Flow_Cr], FII_DII_raw_synthetic_Jan_Jun2026[Date], $A79, FII_DII_raw_synthetic_Jan_Jun2026[Entity_Type], "FII", FII_DII_raw_synthetic_Jan_Jun2026[Sector], M$1)</f>
        <v>0</v>
      </c>
      <c r="N79" s="23">
        <f>SUMIFS(FII_DII_raw_synthetic_Jan_Jun2026[Net_Flow_Cr], FII_DII_raw_synthetic_Jan_Jun2026[Date], $A79, FII_DII_raw_synthetic_Jan_Jun2026[Entity_Type], "FII", FII_DII_raw_synthetic_Jan_Jun2026[Sector], N$1)</f>
        <v>-207.67</v>
      </c>
      <c r="O79" s="23">
        <f>SUMIFS(FII_DII_raw_synthetic_Jan_Jun2026[Net_Flow_Cr], FII_DII_raw_synthetic_Jan_Jun2026[Date], $A79, FII_DII_raw_synthetic_Jan_Jun2026[Entity_Type], "FII", FII_DII_raw_synthetic_Jan_Jun2026[Sector], O$1)</f>
        <v>0</v>
      </c>
      <c r="P79" s="23">
        <f>SUMIFS(FII_DII_raw_synthetic_Jan_Jun2026[Net_Flow_Cr], FII_DII_raw_synthetic_Jan_Jun2026[Date], $A79, FII_DII_raw_synthetic_Jan_Jun2026[Entity_Type], "FII", FII_DII_raw_synthetic_Jan_Jun2026[Sector], P$1)</f>
        <v>0</v>
      </c>
      <c r="Q79" s="23" cm="1">
        <f t="array" ref="Q79">SUMPRODUCT(ABS(G79:P79))</f>
        <v>2042.64</v>
      </c>
      <c r="R79" s="23" cm="1">
        <f t="array" ref="R79">LARGE(ABS(G79:P79),1)+LARGE(ABS(G79:P79),2)</f>
        <v>1780.77</v>
      </c>
      <c r="S79" s="25">
        <f t="shared" si="69"/>
        <v>0.87179826107390435</v>
      </c>
      <c r="T79" s="23">
        <f>IFERROR(_xlfn.XLOOKUP(A79, 'Nifty 50 Historical Data'!A:A, 'Nifty 50 Historical Data'!G:G), "")</f>
        <v>-0.81</v>
      </c>
      <c r="W79" t="str">
        <f t="shared" si="70"/>
        <v>Divergent Flow</v>
      </c>
      <c r="Y79">
        <f t="shared" si="71"/>
        <v>17</v>
      </c>
    </row>
    <row r="80" spans="1:25">
      <c r="A80" s="24">
        <v>46135</v>
      </c>
      <c r="B80" s="23">
        <f>SUMIFS(FII_DII_raw_synthetic_Jan_Jun2026[Net_Flow_Cr], FII_DII_raw_synthetic_Jan_Jun2026[Date], A80, FII_DII_raw_synthetic_Jan_Jun2026[Entity_Type], "FII")</f>
        <v>988.98999999999978</v>
      </c>
      <c r="C80" s="23">
        <f>SUMIFS(FII_DII_raw_synthetic_Jan_Jun2026[Net_Flow_Cr], FII_DII_raw_synthetic_Jan_Jun2026[Date], A80, FII_DII_raw_synthetic_Jan_Jun2026[Entity_Type], "DII")</f>
        <v>-120.35000000000002</v>
      </c>
      <c r="D80" s="23">
        <f t="shared" ref="D80:E80" si="84">AVERAGE(B76:B80)</f>
        <v>-598.85399999999993</v>
      </c>
      <c r="E80" s="23">
        <f t="shared" si="84"/>
        <v>679.36199999999997</v>
      </c>
      <c r="F80" s="23">
        <f t="shared" si="68"/>
        <v>868.63999999999976</v>
      </c>
      <c r="G80" s="23">
        <f>SUMIFS(FII_DII_raw_synthetic_Jan_Jun2026[Net_Flow_Cr], FII_DII_raw_synthetic_Jan_Jun2026[Date], $A80, FII_DII_raw_synthetic_Jan_Jun2026[Entity_Type], "FII", FII_DII_raw_synthetic_Jan_Jun2026[Sector], G$1)</f>
        <v>0</v>
      </c>
      <c r="H80" s="23">
        <f>SUMIFS(FII_DII_raw_synthetic_Jan_Jun2026[Net_Flow_Cr], FII_DII_raw_synthetic_Jan_Jun2026[Date], $A80, FII_DII_raw_synthetic_Jan_Jun2026[Entity_Type], "FII", FII_DII_raw_synthetic_Jan_Jun2026[Sector], H$1)</f>
        <v>0</v>
      </c>
      <c r="I80" s="23">
        <f>SUMIFS(FII_DII_raw_synthetic_Jan_Jun2026[Net_Flow_Cr], FII_DII_raw_synthetic_Jan_Jun2026[Date], $A80, FII_DII_raw_synthetic_Jan_Jun2026[Entity_Type], "FII", FII_DII_raw_synthetic_Jan_Jun2026[Sector], I$1)</f>
        <v>0</v>
      </c>
      <c r="J80" s="23">
        <f>SUMIFS(FII_DII_raw_synthetic_Jan_Jun2026[Net_Flow_Cr], FII_DII_raw_synthetic_Jan_Jun2026[Date], $A80, FII_DII_raw_synthetic_Jan_Jun2026[Entity_Type], "FII", FII_DII_raw_synthetic_Jan_Jun2026[Sector], J$1)</f>
        <v>0</v>
      </c>
      <c r="K80" s="23">
        <f>SUMIFS(FII_DII_raw_synthetic_Jan_Jun2026[Net_Flow_Cr], FII_DII_raw_synthetic_Jan_Jun2026[Date], $A80, FII_DII_raw_synthetic_Jan_Jun2026[Entity_Type], "FII", FII_DII_raw_synthetic_Jan_Jun2026[Sector], K$1)</f>
        <v>2.75</v>
      </c>
      <c r="L80" s="23">
        <f>SUMIFS(FII_DII_raw_synthetic_Jan_Jun2026[Net_Flow_Cr], FII_DII_raw_synthetic_Jan_Jun2026[Date], $A80, FII_DII_raw_synthetic_Jan_Jun2026[Entity_Type], "FII", FII_DII_raw_synthetic_Jan_Jun2026[Sector], L$1)</f>
        <v>0</v>
      </c>
      <c r="M80" s="23">
        <f>SUMIFS(FII_DII_raw_synthetic_Jan_Jun2026[Net_Flow_Cr], FII_DII_raw_synthetic_Jan_Jun2026[Date], $A80, FII_DII_raw_synthetic_Jan_Jun2026[Entity_Type], "FII", FII_DII_raw_synthetic_Jan_Jun2026[Sector], M$1)</f>
        <v>759.3</v>
      </c>
      <c r="N80" s="23">
        <f>SUMIFS(FII_DII_raw_synthetic_Jan_Jun2026[Net_Flow_Cr], FII_DII_raw_synthetic_Jan_Jun2026[Date], $A80, FII_DII_raw_synthetic_Jan_Jun2026[Entity_Type], "FII", FII_DII_raw_synthetic_Jan_Jun2026[Sector], N$1)</f>
        <v>412.21</v>
      </c>
      <c r="O80" s="23">
        <f>SUMIFS(FII_DII_raw_synthetic_Jan_Jun2026[Net_Flow_Cr], FII_DII_raw_synthetic_Jan_Jun2026[Date], $A80, FII_DII_raw_synthetic_Jan_Jun2026[Entity_Type], "FII", FII_DII_raw_synthetic_Jan_Jun2026[Sector], O$1)</f>
        <v>0</v>
      </c>
      <c r="P80" s="23">
        <f>SUMIFS(FII_DII_raw_synthetic_Jan_Jun2026[Net_Flow_Cr], FII_DII_raw_synthetic_Jan_Jun2026[Date], $A80, FII_DII_raw_synthetic_Jan_Jun2026[Entity_Type], "FII", FII_DII_raw_synthetic_Jan_Jun2026[Sector], P$1)</f>
        <v>-185.27000000000021</v>
      </c>
      <c r="Q80" s="23" cm="1">
        <f t="array" ref="Q80">SUMPRODUCT(ABS(G80:P80))</f>
        <v>1359.5300000000002</v>
      </c>
      <c r="R80" s="23" cm="1">
        <f t="array" ref="R80">LARGE(ABS(G80:P80),1)+LARGE(ABS(G80:P80),2)</f>
        <v>1171.51</v>
      </c>
      <c r="S80" s="25">
        <f t="shared" si="69"/>
        <v>0.86170220590939506</v>
      </c>
      <c r="T80" s="23">
        <f>IFERROR(_xlfn.XLOOKUP(A80, 'Nifty 50 Historical Data'!A:A, 'Nifty 50 Historical Data'!G:G), "")</f>
        <v>-0.84</v>
      </c>
      <c r="W80" t="str">
        <f t="shared" si="70"/>
        <v>Divergent Flow</v>
      </c>
      <c r="Y80">
        <f t="shared" si="71"/>
        <v>17</v>
      </c>
    </row>
    <row r="81" spans="1:25">
      <c r="A81" s="24">
        <v>46136</v>
      </c>
      <c r="B81" s="23">
        <f>SUMIFS(FII_DII_raw_synthetic_Jan_Jun2026[Net_Flow_Cr], FII_DII_raw_synthetic_Jan_Jun2026[Date], A81, FII_DII_raw_synthetic_Jan_Jun2026[Entity_Type], "FII")</f>
        <v>-663.81</v>
      </c>
      <c r="C81" s="23">
        <f>SUMIFS(FII_DII_raw_synthetic_Jan_Jun2026[Net_Flow_Cr], FII_DII_raw_synthetic_Jan_Jun2026[Date], A81, FII_DII_raw_synthetic_Jan_Jun2026[Entity_Type], "DII")</f>
        <v>-2085.7199999999998</v>
      </c>
      <c r="D81" s="23">
        <f t="shared" ref="D81:E81" si="85">AVERAGE(B77:B81)</f>
        <v>-783.48399999999992</v>
      </c>
      <c r="E81" s="23">
        <f t="shared" si="85"/>
        <v>201.22000000000008</v>
      </c>
      <c r="F81" s="23">
        <f t="shared" si="68"/>
        <v>-1421.9099999999999</v>
      </c>
      <c r="G81" s="23">
        <f>SUMIFS(FII_DII_raw_synthetic_Jan_Jun2026[Net_Flow_Cr], FII_DII_raw_synthetic_Jan_Jun2026[Date], $A81, FII_DII_raw_synthetic_Jan_Jun2026[Entity_Type], "FII", FII_DII_raw_synthetic_Jan_Jun2026[Sector], G$1)</f>
        <v>0</v>
      </c>
      <c r="H81" s="23">
        <f>SUMIFS(FII_DII_raw_synthetic_Jan_Jun2026[Net_Flow_Cr], FII_DII_raw_synthetic_Jan_Jun2026[Date], $A81, FII_DII_raw_synthetic_Jan_Jun2026[Entity_Type], "FII", FII_DII_raw_synthetic_Jan_Jun2026[Sector], H$1)</f>
        <v>0</v>
      </c>
      <c r="I81" s="23">
        <f>SUMIFS(FII_DII_raw_synthetic_Jan_Jun2026[Net_Flow_Cr], FII_DII_raw_synthetic_Jan_Jun2026[Date], $A81, FII_DII_raw_synthetic_Jan_Jun2026[Entity_Type], "FII", FII_DII_raw_synthetic_Jan_Jun2026[Sector], I$1)</f>
        <v>-629.22</v>
      </c>
      <c r="J81" s="23">
        <f>SUMIFS(FII_DII_raw_synthetic_Jan_Jun2026[Net_Flow_Cr], FII_DII_raw_synthetic_Jan_Jun2026[Date], $A81, FII_DII_raw_synthetic_Jan_Jun2026[Entity_Type], "FII", FII_DII_raw_synthetic_Jan_Jun2026[Sector], J$1)</f>
        <v>679.32</v>
      </c>
      <c r="K81" s="23">
        <f>SUMIFS(FII_DII_raw_synthetic_Jan_Jun2026[Net_Flow_Cr], FII_DII_raw_synthetic_Jan_Jun2026[Date], $A81, FII_DII_raw_synthetic_Jan_Jun2026[Entity_Type], "FII", FII_DII_raw_synthetic_Jan_Jun2026[Sector], K$1)</f>
        <v>-1211.73</v>
      </c>
      <c r="L81" s="23">
        <f>SUMIFS(FII_DII_raw_synthetic_Jan_Jun2026[Net_Flow_Cr], FII_DII_raw_synthetic_Jan_Jun2026[Date], $A81, FII_DII_raw_synthetic_Jan_Jun2026[Entity_Type], "FII", FII_DII_raw_synthetic_Jan_Jun2026[Sector], L$1)</f>
        <v>0</v>
      </c>
      <c r="M81" s="23">
        <f>SUMIFS(FII_DII_raw_synthetic_Jan_Jun2026[Net_Flow_Cr], FII_DII_raw_synthetic_Jan_Jun2026[Date], $A81, FII_DII_raw_synthetic_Jan_Jun2026[Entity_Type], "FII", FII_DII_raw_synthetic_Jan_Jun2026[Sector], M$1)</f>
        <v>0</v>
      </c>
      <c r="N81" s="23">
        <f>SUMIFS(FII_DII_raw_synthetic_Jan_Jun2026[Net_Flow_Cr], FII_DII_raw_synthetic_Jan_Jun2026[Date], $A81, FII_DII_raw_synthetic_Jan_Jun2026[Entity_Type], "FII", FII_DII_raw_synthetic_Jan_Jun2026[Sector], N$1)</f>
        <v>497.82</v>
      </c>
      <c r="O81" s="23">
        <f>SUMIFS(FII_DII_raw_synthetic_Jan_Jun2026[Net_Flow_Cr], FII_DII_raw_synthetic_Jan_Jun2026[Date], $A81, FII_DII_raw_synthetic_Jan_Jun2026[Entity_Type], "FII", FII_DII_raw_synthetic_Jan_Jun2026[Sector], O$1)</f>
        <v>0</v>
      </c>
      <c r="P81" s="23">
        <f>SUMIFS(FII_DII_raw_synthetic_Jan_Jun2026[Net_Flow_Cr], FII_DII_raw_synthetic_Jan_Jun2026[Date], $A81, FII_DII_raw_synthetic_Jan_Jun2026[Entity_Type], "FII", FII_DII_raw_synthetic_Jan_Jun2026[Sector], P$1)</f>
        <v>0</v>
      </c>
      <c r="Q81" s="23" cm="1">
        <f t="array" ref="Q81">SUMPRODUCT(ABS(G81:P81))</f>
        <v>3018.09</v>
      </c>
      <c r="R81" s="23" cm="1">
        <f t="array" ref="R81">LARGE(ABS(G81:P81),1)+LARGE(ABS(G81:P81),2)</f>
        <v>1891.0500000000002</v>
      </c>
      <c r="S81" s="25">
        <f t="shared" si="69"/>
        <v>0.62657177221355231</v>
      </c>
      <c r="T81" s="23">
        <f>IFERROR(_xlfn.XLOOKUP(A81, 'Nifty 50 Historical Data'!A:A, 'Nifty 50 Historical Data'!G:G), "")</f>
        <v>-1.1399999999999999</v>
      </c>
      <c r="W81" t="str">
        <f t="shared" si="70"/>
        <v>Aligned Flow</v>
      </c>
      <c r="Y81">
        <f t="shared" si="71"/>
        <v>17</v>
      </c>
    </row>
    <row r="82" spans="1:25">
      <c r="A82" s="24">
        <v>46139</v>
      </c>
      <c r="B82" s="23">
        <f>SUMIFS(FII_DII_raw_synthetic_Jan_Jun2026[Net_Flow_Cr], FII_DII_raw_synthetic_Jan_Jun2026[Date], A82, FII_DII_raw_synthetic_Jan_Jun2026[Entity_Type], "FII")</f>
        <v>608.52</v>
      </c>
      <c r="C82" s="23">
        <f>SUMIFS(FII_DII_raw_synthetic_Jan_Jun2026[Net_Flow_Cr], FII_DII_raw_synthetic_Jan_Jun2026[Date], A82, FII_DII_raw_synthetic_Jan_Jun2026[Entity_Type], "DII")</f>
        <v>387.21000000000004</v>
      </c>
      <c r="D82" s="23">
        <f t="shared" ref="D82:E82" si="86">AVERAGE(B78:B82)</f>
        <v>-144.25</v>
      </c>
      <c r="E82" s="23">
        <f t="shared" si="86"/>
        <v>39.284000000000013</v>
      </c>
      <c r="F82" s="23">
        <f t="shared" si="68"/>
        <v>221.30999999999995</v>
      </c>
      <c r="G82" s="23">
        <f>SUMIFS(FII_DII_raw_synthetic_Jan_Jun2026[Net_Flow_Cr], FII_DII_raw_synthetic_Jan_Jun2026[Date], $A82, FII_DII_raw_synthetic_Jan_Jun2026[Entity_Type], "FII", FII_DII_raw_synthetic_Jan_Jun2026[Sector], G$1)</f>
        <v>332.64</v>
      </c>
      <c r="H82" s="23">
        <f>SUMIFS(FII_DII_raw_synthetic_Jan_Jun2026[Net_Flow_Cr], FII_DII_raw_synthetic_Jan_Jun2026[Date], $A82, FII_DII_raw_synthetic_Jan_Jun2026[Entity_Type], "FII", FII_DII_raw_synthetic_Jan_Jun2026[Sector], H$1)</f>
        <v>0</v>
      </c>
      <c r="I82" s="23">
        <f>SUMIFS(FII_DII_raw_synthetic_Jan_Jun2026[Net_Flow_Cr], FII_DII_raw_synthetic_Jan_Jun2026[Date], $A82, FII_DII_raw_synthetic_Jan_Jun2026[Entity_Type], "FII", FII_DII_raw_synthetic_Jan_Jun2026[Sector], I$1)</f>
        <v>574.26</v>
      </c>
      <c r="J82" s="23">
        <f>SUMIFS(FII_DII_raw_synthetic_Jan_Jun2026[Net_Flow_Cr], FII_DII_raw_synthetic_Jan_Jun2026[Date], $A82, FII_DII_raw_synthetic_Jan_Jun2026[Entity_Type], "FII", FII_DII_raw_synthetic_Jan_Jun2026[Sector], J$1)</f>
        <v>-298.38</v>
      </c>
      <c r="K82" s="23">
        <f>SUMIFS(FII_DII_raw_synthetic_Jan_Jun2026[Net_Flow_Cr], FII_DII_raw_synthetic_Jan_Jun2026[Date], $A82, FII_DII_raw_synthetic_Jan_Jun2026[Entity_Type], "FII", FII_DII_raw_synthetic_Jan_Jun2026[Sector], K$1)</f>
        <v>0</v>
      </c>
      <c r="L82" s="23">
        <f>SUMIFS(FII_DII_raw_synthetic_Jan_Jun2026[Net_Flow_Cr], FII_DII_raw_synthetic_Jan_Jun2026[Date], $A82, FII_DII_raw_synthetic_Jan_Jun2026[Entity_Type], "FII", FII_DII_raw_synthetic_Jan_Jun2026[Sector], L$1)</f>
        <v>0</v>
      </c>
      <c r="M82" s="23">
        <f>SUMIFS(FII_DII_raw_synthetic_Jan_Jun2026[Net_Flow_Cr], FII_DII_raw_synthetic_Jan_Jun2026[Date], $A82, FII_DII_raw_synthetic_Jan_Jun2026[Entity_Type], "FII", FII_DII_raw_synthetic_Jan_Jun2026[Sector], M$1)</f>
        <v>0</v>
      </c>
      <c r="N82" s="23">
        <f>SUMIFS(FII_DII_raw_synthetic_Jan_Jun2026[Net_Flow_Cr], FII_DII_raw_synthetic_Jan_Jun2026[Date], $A82, FII_DII_raw_synthetic_Jan_Jun2026[Entity_Type], "FII", FII_DII_raw_synthetic_Jan_Jun2026[Sector], N$1)</f>
        <v>0</v>
      </c>
      <c r="O82" s="23">
        <f>SUMIFS(FII_DII_raw_synthetic_Jan_Jun2026[Net_Flow_Cr], FII_DII_raw_synthetic_Jan_Jun2026[Date], $A82, FII_DII_raw_synthetic_Jan_Jun2026[Entity_Type], "FII", FII_DII_raw_synthetic_Jan_Jun2026[Sector], O$1)</f>
        <v>0</v>
      </c>
      <c r="P82" s="23">
        <f>SUMIFS(FII_DII_raw_synthetic_Jan_Jun2026[Net_Flow_Cr], FII_DII_raw_synthetic_Jan_Jun2026[Date], $A82, FII_DII_raw_synthetic_Jan_Jun2026[Entity_Type], "FII", FII_DII_raw_synthetic_Jan_Jun2026[Sector], P$1)</f>
        <v>0</v>
      </c>
      <c r="Q82" s="23" cm="1">
        <f t="array" ref="Q82">SUMPRODUCT(ABS(G82:P82))</f>
        <v>1205.28</v>
      </c>
      <c r="R82" s="23" cm="1">
        <f t="array" ref="R82">LARGE(ABS(G82:P82),1)+LARGE(ABS(G82:P82),2)</f>
        <v>906.9</v>
      </c>
      <c r="S82" s="25">
        <f t="shared" si="69"/>
        <v>0.7524392672242135</v>
      </c>
      <c r="T82" s="23">
        <f>IFERROR(_xlfn.XLOOKUP(A82, 'Nifty 50 Historical Data'!A:A, 'Nifty 50 Historical Data'!G:G), "")</f>
        <v>0.81</v>
      </c>
      <c r="W82" t="str">
        <f t="shared" si="70"/>
        <v>Aligned Flow</v>
      </c>
      <c r="Y82">
        <f t="shared" si="71"/>
        <v>18</v>
      </c>
    </row>
    <row r="83" spans="1:25">
      <c r="A83" s="24">
        <v>46140</v>
      </c>
      <c r="B83" s="23">
        <f>SUMIFS(FII_DII_raw_synthetic_Jan_Jun2026[Net_Flow_Cr], FII_DII_raw_synthetic_Jan_Jun2026[Date], A83, FII_DII_raw_synthetic_Jan_Jun2026[Entity_Type], "FII")</f>
        <v>219.97000000000003</v>
      </c>
      <c r="C83" s="23">
        <f>SUMIFS(FII_DII_raw_synthetic_Jan_Jun2026[Net_Flow_Cr], FII_DII_raw_synthetic_Jan_Jun2026[Date], A83, FII_DII_raw_synthetic_Jan_Jun2026[Entity_Type], "DII")</f>
        <v>800.1</v>
      </c>
      <c r="D83" s="23">
        <f t="shared" ref="D83:E83" si="87">AVERAGE(B79:B83)</f>
        <v>115.77399999999997</v>
      </c>
      <c r="E83" s="23">
        <f t="shared" si="87"/>
        <v>-120.59399999999998</v>
      </c>
      <c r="F83" s="23">
        <f t="shared" si="68"/>
        <v>-580.13</v>
      </c>
      <c r="G83" s="23">
        <f>SUMIFS(FII_DII_raw_synthetic_Jan_Jun2026[Net_Flow_Cr], FII_DII_raw_synthetic_Jan_Jun2026[Date], $A83, FII_DII_raw_synthetic_Jan_Jun2026[Entity_Type], "FII", FII_DII_raw_synthetic_Jan_Jun2026[Sector], G$1)</f>
        <v>0</v>
      </c>
      <c r="H83" s="23">
        <f>SUMIFS(FII_DII_raw_synthetic_Jan_Jun2026[Net_Flow_Cr], FII_DII_raw_synthetic_Jan_Jun2026[Date], $A83, FII_DII_raw_synthetic_Jan_Jun2026[Entity_Type], "FII", FII_DII_raw_synthetic_Jan_Jun2026[Sector], H$1)</f>
        <v>0</v>
      </c>
      <c r="I83" s="23">
        <f>SUMIFS(FII_DII_raw_synthetic_Jan_Jun2026[Net_Flow_Cr], FII_DII_raw_synthetic_Jan_Jun2026[Date], $A83, FII_DII_raw_synthetic_Jan_Jun2026[Entity_Type], "FII", FII_DII_raw_synthetic_Jan_Jun2026[Sector], I$1)</f>
        <v>0</v>
      </c>
      <c r="J83" s="23">
        <f>SUMIFS(FII_DII_raw_synthetic_Jan_Jun2026[Net_Flow_Cr], FII_DII_raw_synthetic_Jan_Jun2026[Date], $A83, FII_DII_raw_synthetic_Jan_Jun2026[Entity_Type], "FII", FII_DII_raw_synthetic_Jan_Jun2026[Sector], J$1)</f>
        <v>-638.71999999999991</v>
      </c>
      <c r="K83" s="23">
        <f>SUMIFS(FII_DII_raw_synthetic_Jan_Jun2026[Net_Flow_Cr], FII_DII_raw_synthetic_Jan_Jun2026[Date], $A83, FII_DII_raw_synthetic_Jan_Jun2026[Entity_Type], "FII", FII_DII_raw_synthetic_Jan_Jun2026[Sector], K$1)</f>
        <v>104.68</v>
      </c>
      <c r="L83" s="23">
        <f>SUMIFS(FII_DII_raw_synthetic_Jan_Jun2026[Net_Flow_Cr], FII_DII_raw_synthetic_Jan_Jun2026[Date], $A83, FII_DII_raw_synthetic_Jan_Jun2026[Entity_Type], "FII", FII_DII_raw_synthetic_Jan_Jun2026[Sector], L$1)</f>
        <v>0</v>
      </c>
      <c r="M83" s="23">
        <f>SUMIFS(FII_DII_raw_synthetic_Jan_Jun2026[Net_Flow_Cr], FII_DII_raw_synthetic_Jan_Jun2026[Date], $A83, FII_DII_raw_synthetic_Jan_Jun2026[Entity_Type], "FII", FII_DII_raw_synthetic_Jan_Jun2026[Sector], M$1)</f>
        <v>0</v>
      </c>
      <c r="N83" s="23">
        <f>SUMIFS(FII_DII_raw_synthetic_Jan_Jun2026[Net_Flow_Cr], FII_DII_raw_synthetic_Jan_Jun2026[Date], $A83, FII_DII_raw_synthetic_Jan_Jun2026[Entity_Type], "FII", FII_DII_raw_synthetic_Jan_Jun2026[Sector], N$1)</f>
        <v>-102.51</v>
      </c>
      <c r="O83" s="23">
        <f>SUMIFS(FII_DII_raw_synthetic_Jan_Jun2026[Net_Flow_Cr], FII_DII_raw_synthetic_Jan_Jun2026[Date], $A83, FII_DII_raw_synthetic_Jan_Jun2026[Entity_Type], "FII", FII_DII_raw_synthetic_Jan_Jun2026[Sector], O$1)</f>
        <v>856.52</v>
      </c>
      <c r="P83" s="23">
        <f>SUMIFS(FII_DII_raw_synthetic_Jan_Jun2026[Net_Flow_Cr], FII_DII_raw_synthetic_Jan_Jun2026[Date], $A83, FII_DII_raw_synthetic_Jan_Jun2026[Entity_Type], "FII", FII_DII_raw_synthetic_Jan_Jun2026[Sector], P$1)</f>
        <v>0</v>
      </c>
      <c r="Q83" s="23" cm="1">
        <f t="array" ref="Q83">SUMPRODUCT(ABS(G83:P83))</f>
        <v>1702.4299999999998</v>
      </c>
      <c r="R83" s="23" cm="1">
        <f t="array" ref="R83">LARGE(ABS(G83:P83),1)+LARGE(ABS(G83:P83),2)</f>
        <v>1495.2399999999998</v>
      </c>
      <c r="S83" s="25">
        <f t="shared" si="69"/>
        <v>0.878297492407911</v>
      </c>
      <c r="T83" s="23">
        <f>IFERROR(_xlfn.XLOOKUP(A83, 'Nifty 50 Historical Data'!A:A, 'Nifty 50 Historical Data'!G:G), "")</f>
        <v>-0.4</v>
      </c>
      <c r="W83" t="str">
        <f t="shared" si="70"/>
        <v>Aligned Flow</v>
      </c>
      <c r="Y83">
        <f t="shared" si="71"/>
        <v>18</v>
      </c>
    </row>
    <row r="84" spans="1:25">
      <c r="A84" s="24">
        <v>46141</v>
      </c>
      <c r="B84" s="23">
        <f>SUMIFS(FII_DII_raw_synthetic_Jan_Jun2026[Net_Flow_Cr], FII_DII_raw_synthetic_Jan_Jun2026[Date], A84, FII_DII_raw_synthetic_Jan_Jun2026[Entity_Type], "FII")</f>
        <v>-296.42000000000013</v>
      </c>
      <c r="C84" s="23">
        <f>SUMIFS(FII_DII_raw_synthetic_Jan_Jun2026[Net_Flow_Cr], FII_DII_raw_synthetic_Jan_Jun2026[Date], A84, FII_DII_raw_synthetic_Jan_Jun2026[Entity_Type], "DII")</f>
        <v>-1903.1399999999999</v>
      </c>
      <c r="D84" s="23">
        <f t="shared" ref="D84:E84" si="88">AVERAGE(B80:B84)</f>
        <v>171.44999999999996</v>
      </c>
      <c r="E84" s="23">
        <f t="shared" si="88"/>
        <v>-584.37999999999988</v>
      </c>
      <c r="F84" s="23">
        <f t="shared" si="68"/>
        <v>-1606.7199999999998</v>
      </c>
      <c r="G84" s="23">
        <f>SUMIFS(FII_DII_raw_synthetic_Jan_Jun2026[Net_Flow_Cr], FII_DII_raw_synthetic_Jan_Jun2026[Date], $A84, FII_DII_raw_synthetic_Jan_Jun2026[Entity_Type], "FII", FII_DII_raw_synthetic_Jan_Jun2026[Sector], G$1)</f>
        <v>-196.82</v>
      </c>
      <c r="H84" s="23">
        <f>SUMIFS(FII_DII_raw_synthetic_Jan_Jun2026[Net_Flow_Cr], FII_DII_raw_synthetic_Jan_Jun2026[Date], $A84, FII_DII_raw_synthetic_Jan_Jun2026[Entity_Type], "FII", FII_DII_raw_synthetic_Jan_Jun2026[Sector], H$1)</f>
        <v>-874.35</v>
      </c>
      <c r="I84" s="23">
        <f>SUMIFS(FII_DII_raw_synthetic_Jan_Jun2026[Net_Flow_Cr], FII_DII_raw_synthetic_Jan_Jun2026[Date], $A84, FII_DII_raw_synthetic_Jan_Jun2026[Entity_Type], "FII", FII_DII_raw_synthetic_Jan_Jun2026[Sector], I$1)</f>
        <v>0</v>
      </c>
      <c r="J84" s="23">
        <f>SUMIFS(FII_DII_raw_synthetic_Jan_Jun2026[Net_Flow_Cr], FII_DII_raw_synthetic_Jan_Jun2026[Date], $A84, FII_DII_raw_synthetic_Jan_Jun2026[Entity_Type], "FII", FII_DII_raw_synthetic_Jan_Jun2026[Sector], J$1)</f>
        <v>0</v>
      </c>
      <c r="K84" s="23">
        <f>SUMIFS(FII_DII_raw_synthetic_Jan_Jun2026[Net_Flow_Cr], FII_DII_raw_synthetic_Jan_Jun2026[Date], $A84, FII_DII_raw_synthetic_Jan_Jun2026[Entity_Type], "FII", FII_DII_raw_synthetic_Jan_Jun2026[Sector], K$1)</f>
        <v>0</v>
      </c>
      <c r="L84" s="23">
        <f>SUMIFS(FII_DII_raw_synthetic_Jan_Jun2026[Net_Flow_Cr], FII_DII_raw_synthetic_Jan_Jun2026[Date], $A84, FII_DII_raw_synthetic_Jan_Jun2026[Entity_Type], "FII", FII_DII_raw_synthetic_Jan_Jun2026[Sector], L$1)</f>
        <v>0</v>
      </c>
      <c r="M84" s="23">
        <f>SUMIFS(FII_DII_raw_synthetic_Jan_Jun2026[Net_Flow_Cr], FII_DII_raw_synthetic_Jan_Jun2026[Date], $A84, FII_DII_raw_synthetic_Jan_Jun2026[Entity_Type], "FII", FII_DII_raw_synthetic_Jan_Jun2026[Sector], M$1)</f>
        <v>-279.27999999999997</v>
      </c>
      <c r="N84" s="23">
        <f>SUMIFS(FII_DII_raw_synthetic_Jan_Jun2026[Net_Flow_Cr], FII_DII_raw_synthetic_Jan_Jun2026[Date], $A84, FII_DII_raw_synthetic_Jan_Jun2026[Entity_Type], "FII", FII_DII_raw_synthetic_Jan_Jun2026[Sector], N$1)</f>
        <v>1054.03</v>
      </c>
      <c r="O84" s="23">
        <f>SUMIFS(FII_DII_raw_synthetic_Jan_Jun2026[Net_Flow_Cr], FII_DII_raw_synthetic_Jan_Jun2026[Date], $A84, FII_DII_raw_synthetic_Jan_Jun2026[Entity_Type], "FII", FII_DII_raw_synthetic_Jan_Jun2026[Sector], O$1)</f>
        <v>0</v>
      </c>
      <c r="P84" s="23">
        <f>SUMIFS(FII_DII_raw_synthetic_Jan_Jun2026[Net_Flow_Cr], FII_DII_raw_synthetic_Jan_Jun2026[Date], $A84, FII_DII_raw_synthetic_Jan_Jun2026[Entity_Type], "FII", FII_DII_raw_synthetic_Jan_Jun2026[Sector], P$1)</f>
        <v>0</v>
      </c>
      <c r="Q84" s="23" cm="1">
        <f t="array" ref="Q84">SUMPRODUCT(ABS(G84:P84))</f>
        <v>2404.48</v>
      </c>
      <c r="R84" s="23" cm="1">
        <f t="array" ref="R84">LARGE(ABS(G84:P84),1)+LARGE(ABS(G84:P84),2)</f>
        <v>1928.38</v>
      </c>
      <c r="S84" s="25">
        <f t="shared" si="69"/>
        <v>0.80199461006121908</v>
      </c>
      <c r="T84" s="23">
        <f>IFERROR(_xlfn.XLOOKUP(A84, 'Nifty 50 Historical Data'!A:A, 'Nifty 50 Historical Data'!G:G), "")</f>
        <v>0.76</v>
      </c>
      <c r="W84" t="str">
        <f t="shared" si="70"/>
        <v>Aligned Flow</v>
      </c>
      <c r="Y84">
        <f t="shared" si="71"/>
        <v>18</v>
      </c>
    </row>
    <row r="85" spans="1:25">
      <c r="A85" s="24">
        <v>46142</v>
      </c>
      <c r="B85" s="23">
        <f>SUMIFS(FII_DII_raw_synthetic_Jan_Jun2026[Net_Flow_Cr], FII_DII_raw_synthetic_Jan_Jun2026[Date], A85, FII_DII_raw_synthetic_Jan_Jun2026[Entity_Type], "FII")</f>
        <v>-2044.3700000000001</v>
      </c>
      <c r="C85" s="23">
        <f>SUMIFS(FII_DII_raw_synthetic_Jan_Jun2026[Net_Flow_Cr], FII_DII_raw_synthetic_Jan_Jun2026[Date], A85, FII_DII_raw_synthetic_Jan_Jun2026[Entity_Type], "DII")</f>
        <v>1558.19</v>
      </c>
      <c r="D85" s="23">
        <f t="shared" ref="D85:E85" si="89">AVERAGE(B81:B85)</f>
        <v>-435.22200000000004</v>
      </c>
      <c r="E85" s="23">
        <f t="shared" si="89"/>
        <v>-248.67199999999994</v>
      </c>
      <c r="F85" s="23">
        <f t="shared" si="68"/>
        <v>486.18000000000006</v>
      </c>
      <c r="G85" s="23">
        <f>SUMIFS(FII_DII_raw_synthetic_Jan_Jun2026[Net_Flow_Cr], FII_DII_raw_synthetic_Jan_Jun2026[Date], $A85, FII_DII_raw_synthetic_Jan_Jun2026[Entity_Type], "FII", FII_DII_raw_synthetic_Jan_Jun2026[Sector], G$1)</f>
        <v>-623.30999999999995</v>
      </c>
      <c r="H85" s="23">
        <f>SUMIFS(FII_DII_raw_synthetic_Jan_Jun2026[Net_Flow_Cr], FII_DII_raw_synthetic_Jan_Jun2026[Date], $A85, FII_DII_raw_synthetic_Jan_Jun2026[Entity_Type], "FII", FII_DII_raw_synthetic_Jan_Jun2026[Sector], H$1)</f>
        <v>0</v>
      </c>
      <c r="I85" s="23">
        <f>SUMIFS(FII_DII_raw_synthetic_Jan_Jun2026[Net_Flow_Cr], FII_DII_raw_synthetic_Jan_Jun2026[Date], $A85, FII_DII_raw_synthetic_Jan_Jun2026[Entity_Type], "FII", FII_DII_raw_synthetic_Jan_Jun2026[Sector], I$1)</f>
        <v>-1117.5999999999999</v>
      </c>
      <c r="J85" s="23">
        <f>SUMIFS(FII_DII_raw_synthetic_Jan_Jun2026[Net_Flow_Cr], FII_DII_raw_synthetic_Jan_Jun2026[Date], $A85, FII_DII_raw_synthetic_Jan_Jun2026[Entity_Type], "FII", FII_DII_raw_synthetic_Jan_Jun2026[Sector], J$1)</f>
        <v>1070.49</v>
      </c>
      <c r="K85" s="23">
        <f>SUMIFS(FII_DII_raw_synthetic_Jan_Jun2026[Net_Flow_Cr], FII_DII_raw_synthetic_Jan_Jun2026[Date], $A85, FII_DII_raw_synthetic_Jan_Jun2026[Entity_Type], "FII", FII_DII_raw_synthetic_Jan_Jun2026[Sector], K$1)</f>
        <v>0</v>
      </c>
      <c r="L85" s="23">
        <f>SUMIFS(FII_DII_raw_synthetic_Jan_Jun2026[Net_Flow_Cr], FII_DII_raw_synthetic_Jan_Jun2026[Date], $A85, FII_DII_raw_synthetic_Jan_Jun2026[Entity_Type], "FII", FII_DII_raw_synthetic_Jan_Jun2026[Sector], L$1)</f>
        <v>0</v>
      </c>
      <c r="M85" s="23">
        <f>SUMIFS(FII_DII_raw_synthetic_Jan_Jun2026[Net_Flow_Cr], FII_DII_raw_synthetic_Jan_Jun2026[Date], $A85, FII_DII_raw_synthetic_Jan_Jun2026[Entity_Type], "FII", FII_DII_raw_synthetic_Jan_Jun2026[Sector], M$1)</f>
        <v>0</v>
      </c>
      <c r="N85" s="23">
        <f>SUMIFS(FII_DII_raw_synthetic_Jan_Jun2026[Net_Flow_Cr], FII_DII_raw_synthetic_Jan_Jun2026[Date], $A85, FII_DII_raw_synthetic_Jan_Jun2026[Entity_Type], "FII", FII_DII_raw_synthetic_Jan_Jun2026[Sector], N$1)</f>
        <v>0</v>
      </c>
      <c r="O85" s="23">
        <f>SUMIFS(FII_DII_raw_synthetic_Jan_Jun2026[Net_Flow_Cr], FII_DII_raw_synthetic_Jan_Jun2026[Date], $A85, FII_DII_raw_synthetic_Jan_Jun2026[Entity_Type], "FII", FII_DII_raw_synthetic_Jan_Jun2026[Sector], O$1)</f>
        <v>-1373.95</v>
      </c>
      <c r="P85" s="23">
        <f>SUMIFS(FII_DII_raw_synthetic_Jan_Jun2026[Net_Flow_Cr], FII_DII_raw_synthetic_Jan_Jun2026[Date], $A85, FII_DII_raw_synthetic_Jan_Jun2026[Entity_Type], "FII", FII_DII_raw_synthetic_Jan_Jun2026[Sector], P$1)</f>
        <v>0</v>
      </c>
      <c r="Q85" s="23" cm="1">
        <f t="array" ref="Q85">SUMPRODUCT(ABS(G85:P85))</f>
        <v>4185.3499999999995</v>
      </c>
      <c r="R85" s="23" cm="1">
        <f t="array" ref="R85">LARGE(ABS(G85:P85),1)+LARGE(ABS(G85:P85),2)</f>
        <v>2491.5500000000002</v>
      </c>
      <c r="S85" s="25">
        <f t="shared" si="69"/>
        <v>0.5953026628597371</v>
      </c>
      <c r="T85" s="23">
        <f>IFERROR(_xlfn.XLOOKUP(A85, 'Nifty 50 Historical Data'!A:A, 'Nifty 50 Historical Data'!G:G), "")</f>
        <v>-0.74</v>
      </c>
      <c r="W85" t="str">
        <f t="shared" si="70"/>
        <v>Strong FII Selling</v>
      </c>
      <c r="Y85">
        <f t="shared" si="71"/>
        <v>18</v>
      </c>
    </row>
    <row r="86" spans="1:25">
      <c r="A86" s="24">
        <v>46143</v>
      </c>
      <c r="B86" s="23">
        <f>SUMIFS(FII_DII_raw_synthetic_Jan_Jun2026[Net_Flow_Cr], FII_DII_raw_synthetic_Jan_Jun2026[Date], A86, FII_DII_raw_synthetic_Jan_Jun2026[Entity_Type], "FII")</f>
        <v>462.9</v>
      </c>
      <c r="C86" s="23">
        <f>SUMIFS(FII_DII_raw_synthetic_Jan_Jun2026[Net_Flow_Cr], FII_DII_raw_synthetic_Jan_Jun2026[Date], A86, FII_DII_raw_synthetic_Jan_Jun2026[Entity_Type], "DII")</f>
        <v>1709.7</v>
      </c>
      <c r="D86" s="23">
        <f t="shared" ref="D86:E86" si="90">AVERAGE(B82:B86)</f>
        <v>-209.88000000000002</v>
      </c>
      <c r="E86" s="23">
        <f t="shared" si="90"/>
        <v>510.41200000000009</v>
      </c>
      <c r="F86" s="23">
        <f t="shared" si="68"/>
        <v>-1246.8000000000002</v>
      </c>
      <c r="G86" s="23">
        <f>SUMIFS(FII_DII_raw_synthetic_Jan_Jun2026[Net_Flow_Cr], FII_DII_raw_synthetic_Jan_Jun2026[Date], $A86, FII_DII_raw_synthetic_Jan_Jun2026[Entity_Type], "FII", FII_DII_raw_synthetic_Jan_Jun2026[Sector], G$1)</f>
        <v>-10.96</v>
      </c>
      <c r="H86" s="23">
        <f>SUMIFS(FII_DII_raw_synthetic_Jan_Jun2026[Net_Flow_Cr], FII_DII_raw_synthetic_Jan_Jun2026[Date], $A86, FII_DII_raw_synthetic_Jan_Jun2026[Entity_Type], "FII", FII_DII_raw_synthetic_Jan_Jun2026[Sector], H$1)</f>
        <v>0</v>
      </c>
      <c r="I86" s="23">
        <f>SUMIFS(FII_DII_raw_synthetic_Jan_Jun2026[Net_Flow_Cr], FII_DII_raw_synthetic_Jan_Jun2026[Date], $A86, FII_DII_raw_synthetic_Jan_Jun2026[Entity_Type], "FII", FII_DII_raw_synthetic_Jan_Jun2026[Sector], I$1)</f>
        <v>0</v>
      </c>
      <c r="J86" s="23">
        <f>SUMIFS(FII_DII_raw_synthetic_Jan_Jun2026[Net_Flow_Cr], FII_DII_raw_synthetic_Jan_Jun2026[Date], $A86, FII_DII_raw_synthetic_Jan_Jun2026[Entity_Type], "FII", FII_DII_raw_synthetic_Jan_Jun2026[Sector], J$1)</f>
        <v>0</v>
      </c>
      <c r="K86" s="23">
        <f>SUMIFS(FII_DII_raw_synthetic_Jan_Jun2026[Net_Flow_Cr], FII_DII_raw_synthetic_Jan_Jun2026[Date], $A86, FII_DII_raw_synthetic_Jan_Jun2026[Entity_Type], "FII", FII_DII_raw_synthetic_Jan_Jun2026[Sector], K$1)</f>
        <v>0</v>
      </c>
      <c r="L86" s="23">
        <f>SUMIFS(FII_DII_raw_synthetic_Jan_Jun2026[Net_Flow_Cr], FII_DII_raw_synthetic_Jan_Jun2026[Date], $A86, FII_DII_raw_synthetic_Jan_Jun2026[Entity_Type], "FII", FII_DII_raw_synthetic_Jan_Jun2026[Sector], L$1)</f>
        <v>0</v>
      </c>
      <c r="M86" s="23">
        <f>SUMIFS(FII_DII_raw_synthetic_Jan_Jun2026[Net_Flow_Cr], FII_DII_raw_synthetic_Jan_Jun2026[Date], $A86, FII_DII_raw_synthetic_Jan_Jun2026[Entity_Type], "FII", FII_DII_raw_synthetic_Jan_Jun2026[Sector], M$1)</f>
        <v>0</v>
      </c>
      <c r="N86" s="23">
        <f>SUMIFS(FII_DII_raw_synthetic_Jan_Jun2026[Net_Flow_Cr], FII_DII_raw_synthetic_Jan_Jun2026[Date], $A86, FII_DII_raw_synthetic_Jan_Jun2026[Entity_Type], "FII", FII_DII_raw_synthetic_Jan_Jun2026[Sector], N$1)</f>
        <v>591.66999999999996</v>
      </c>
      <c r="O86" s="23">
        <f>SUMIFS(FII_DII_raw_synthetic_Jan_Jun2026[Net_Flow_Cr], FII_DII_raw_synthetic_Jan_Jun2026[Date], $A86, FII_DII_raw_synthetic_Jan_Jun2026[Entity_Type], "FII", FII_DII_raw_synthetic_Jan_Jun2026[Sector], O$1)</f>
        <v>-117.81</v>
      </c>
      <c r="P86" s="23">
        <f>SUMIFS(FII_DII_raw_synthetic_Jan_Jun2026[Net_Flow_Cr], FII_DII_raw_synthetic_Jan_Jun2026[Date], $A86, FII_DII_raw_synthetic_Jan_Jun2026[Entity_Type], "FII", FII_DII_raw_synthetic_Jan_Jun2026[Sector], P$1)</f>
        <v>0</v>
      </c>
      <c r="Q86" s="23" cm="1">
        <f t="array" ref="Q86">SUMPRODUCT(ABS(G86:P86))</f>
        <v>720.44</v>
      </c>
      <c r="R86" s="23" cm="1">
        <f t="array" ref="R86">LARGE(ABS(G86:P86),1)+LARGE(ABS(G86:P86),2)</f>
        <v>709.48</v>
      </c>
      <c r="S86" s="25">
        <f t="shared" si="69"/>
        <v>0.98478707456554326</v>
      </c>
      <c r="T86" s="23" t="str">
        <f>IFERROR(_xlfn.XLOOKUP(A86, 'Nifty 50 Historical Data'!A:A, 'Nifty 50 Historical Data'!G:G), "")</f>
        <v/>
      </c>
      <c r="W86" t="str">
        <f t="shared" si="70"/>
        <v>Aligned Flow</v>
      </c>
      <c r="Y86">
        <f t="shared" si="71"/>
        <v>18</v>
      </c>
    </row>
    <row r="87" spans="1:25">
      <c r="A87" s="24">
        <v>46144</v>
      </c>
      <c r="B87" s="23">
        <f>SUMIFS(FII_DII_raw_synthetic_Jan_Jun2026[Net_Flow_Cr], FII_DII_raw_synthetic_Jan_Jun2026[Date], A87, FII_DII_raw_synthetic_Jan_Jun2026[Entity_Type], "FII")</f>
        <v>1214.76</v>
      </c>
      <c r="C87" s="23">
        <f>SUMIFS(FII_DII_raw_synthetic_Jan_Jun2026[Net_Flow_Cr], FII_DII_raw_synthetic_Jan_Jun2026[Date], A87, FII_DII_raw_synthetic_Jan_Jun2026[Entity_Type], "DII")</f>
        <v>898.71</v>
      </c>
      <c r="D87" s="23">
        <f t="shared" ref="D87:E87" si="91">AVERAGE(B83:B87)</f>
        <v>-88.632000000000019</v>
      </c>
      <c r="E87" s="23">
        <f t="shared" si="91"/>
        <v>612.7120000000001</v>
      </c>
      <c r="F87" s="23">
        <f t="shared" si="68"/>
        <v>316.04999999999995</v>
      </c>
      <c r="G87" s="23">
        <f>SUMIFS(FII_DII_raw_synthetic_Jan_Jun2026[Net_Flow_Cr], FII_DII_raw_synthetic_Jan_Jun2026[Date], $A87, FII_DII_raw_synthetic_Jan_Jun2026[Entity_Type], "FII", FII_DII_raw_synthetic_Jan_Jun2026[Sector], G$1)</f>
        <v>0</v>
      </c>
      <c r="H87" s="23">
        <f>SUMIFS(FII_DII_raw_synthetic_Jan_Jun2026[Net_Flow_Cr], FII_DII_raw_synthetic_Jan_Jun2026[Date], $A87, FII_DII_raw_synthetic_Jan_Jun2026[Entity_Type], "FII", FII_DII_raw_synthetic_Jan_Jun2026[Sector], H$1)</f>
        <v>0</v>
      </c>
      <c r="I87" s="23">
        <f>SUMIFS(FII_DII_raw_synthetic_Jan_Jun2026[Net_Flow_Cr], FII_DII_raw_synthetic_Jan_Jun2026[Date], $A87, FII_DII_raw_synthetic_Jan_Jun2026[Entity_Type], "FII", FII_DII_raw_synthetic_Jan_Jun2026[Sector], I$1)</f>
        <v>0</v>
      </c>
      <c r="J87" s="23">
        <f>SUMIFS(FII_DII_raw_synthetic_Jan_Jun2026[Net_Flow_Cr], FII_DII_raw_synthetic_Jan_Jun2026[Date], $A87, FII_DII_raw_synthetic_Jan_Jun2026[Entity_Type], "FII", FII_DII_raw_synthetic_Jan_Jun2026[Sector], J$1)</f>
        <v>0</v>
      </c>
      <c r="K87" s="23">
        <f>SUMIFS(FII_DII_raw_synthetic_Jan_Jun2026[Net_Flow_Cr], FII_DII_raw_synthetic_Jan_Jun2026[Date], $A87, FII_DII_raw_synthetic_Jan_Jun2026[Entity_Type], "FII", FII_DII_raw_synthetic_Jan_Jun2026[Sector], K$1)</f>
        <v>0</v>
      </c>
      <c r="L87" s="23">
        <f>SUMIFS(FII_DII_raw_synthetic_Jan_Jun2026[Net_Flow_Cr], FII_DII_raw_synthetic_Jan_Jun2026[Date], $A87, FII_DII_raw_synthetic_Jan_Jun2026[Entity_Type], "FII", FII_DII_raw_synthetic_Jan_Jun2026[Sector], L$1)</f>
        <v>0</v>
      </c>
      <c r="M87" s="23">
        <f>SUMIFS(FII_DII_raw_synthetic_Jan_Jun2026[Net_Flow_Cr], FII_DII_raw_synthetic_Jan_Jun2026[Date], $A87, FII_DII_raw_synthetic_Jan_Jun2026[Entity_Type], "FII", FII_DII_raw_synthetic_Jan_Jun2026[Sector], M$1)</f>
        <v>0</v>
      </c>
      <c r="N87" s="23">
        <f>SUMIFS(FII_DII_raw_synthetic_Jan_Jun2026[Net_Flow_Cr], FII_DII_raw_synthetic_Jan_Jun2026[Date], $A87, FII_DII_raw_synthetic_Jan_Jun2026[Entity_Type], "FII", FII_DII_raw_synthetic_Jan_Jun2026[Sector], N$1)</f>
        <v>0</v>
      </c>
      <c r="O87" s="23">
        <f>SUMIFS(FII_DII_raw_synthetic_Jan_Jun2026[Net_Flow_Cr], FII_DII_raw_synthetic_Jan_Jun2026[Date], $A87, FII_DII_raw_synthetic_Jan_Jun2026[Entity_Type], "FII", FII_DII_raw_synthetic_Jan_Jun2026[Sector], O$1)</f>
        <v>1214.76</v>
      </c>
      <c r="P87" s="23">
        <f>SUMIFS(FII_DII_raw_synthetic_Jan_Jun2026[Net_Flow_Cr], FII_DII_raw_synthetic_Jan_Jun2026[Date], $A87, FII_DII_raw_synthetic_Jan_Jun2026[Entity_Type], "FII", FII_DII_raw_synthetic_Jan_Jun2026[Sector], P$1)</f>
        <v>0</v>
      </c>
      <c r="Q87" s="23" cm="1">
        <f t="array" ref="Q87">SUMPRODUCT(ABS(G87:P87))</f>
        <v>1214.76</v>
      </c>
      <c r="R87" s="23" cm="1">
        <f t="array" ref="R87">LARGE(ABS(G87:P87),1)+LARGE(ABS(G87:P87),2)</f>
        <v>1214.76</v>
      </c>
      <c r="S87" s="25">
        <f t="shared" si="69"/>
        <v>1</v>
      </c>
      <c r="T87" s="23" t="str">
        <f>IFERROR(_xlfn.XLOOKUP(A87, 'Nifty 50 Historical Data'!A:A, 'Nifty 50 Historical Data'!G:G), "")</f>
        <v/>
      </c>
      <c r="W87" t="str">
        <f t="shared" si="70"/>
        <v>Aligned Flow</v>
      </c>
      <c r="Y87">
        <f t="shared" si="71"/>
        <v>18</v>
      </c>
    </row>
    <row r="88" spans="1:25">
      <c r="A88" s="24">
        <v>46145</v>
      </c>
      <c r="B88" s="23">
        <f>SUMIFS(FII_DII_raw_synthetic_Jan_Jun2026[Net_Flow_Cr], FII_DII_raw_synthetic_Jan_Jun2026[Date], A88, FII_DII_raw_synthetic_Jan_Jun2026[Entity_Type], "FII")</f>
        <v>1204.8800000000001</v>
      </c>
      <c r="C88" s="23">
        <f>SUMIFS(FII_DII_raw_synthetic_Jan_Jun2026[Net_Flow_Cr], FII_DII_raw_synthetic_Jan_Jun2026[Date], A88, FII_DII_raw_synthetic_Jan_Jun2026[Entity_Type], "DII")</f>
        <v>2153.54</v>
      </c>
      <c r="D88" s="23">
        <f t="shared" ref="D88:E88" si="92">AVERAGE(B84:B88)</f>
        <v>108.34999999999995</v>
      </c>
      <c r="E88" s="23">
        <f t="shared" si="92"/>
        <v>883.4</v>
      </c>
      <c r="F88" s="23">
        <f t="shared" si="68"/>
        <v>-948.65999999999985</v>
      </c>
      <c r="G88" s="23">
        <f>SUMIFS(FII_DII_raw_synthetic_Jan_Jun2026[Net_Flow_Cr], FII_DII_raw_synthetic_Jan_Jun2026[Date], $A88, FII_DII_raw_synthetic_Jan_Jun2026[Entity_Type], "FII", FII_DII_raw_synthetic_Jan_Jun2026[Sector], G$1)</f>
        <v>0</v>
      </c>
      <c r="H88" s="23">
        <f>SUMIFS(FII_DII_raw_synthetic_Jan_Jun2026[Net_Flow_Cr], FII_DII_raw_synthetic_Jan_Jun2026[Date], $A88, FII_DII_raw_synthetic_Jan_Jun2026[Entity_Type], "FII", FII_DII_raw_synthetic_Jan_Jun2026[Sector], H$1)</f>
        <v>0</v>
      </c>
      <c r="I88" s="23">
        <f>SUMIFS(FII_DII_raw_synthetic_Jan_Jun2026[Net_Flow_Cr], FII_DII_raw_synthetic_Jan_Jun2026[Date], $A88, FII_DII_raw_synthetic_Jan_Jun2026[Entity_Type], "FII", FII_DII_raw_synthetic_Jan_Jun2026[Sector], I$1)</f>
        <v>0</v>
      </c>
      <c r="J88" s="23">
        <f>SUMIFS(FII_DII_raw_synthetic_Jan_Jun2026[Net_Flow_Cr], FII_DII_raw_synthetic_Jan_Jun2026[Date], $A88, FII_DII_raw_synthetic_Jan_Jun2026[Entity_Type], "FII", FII_DII_raw_synthetic_Jan_Jun2026[Sector], J$1)</f>
        <v>0</v>
      </c>
      <c r="K88" s="23">
        <f>SUMIFS(FII_DII_raw_synthetic_Jan_Jun2026[Net_Flow_Cr], FII_DII_raw_synthetic_Jan_Jun2026[Date], $A88, FII_DII_raw_synthetic_Jan_Jun2026[Entity_Type], "FII", FII_DII_raw_synthetic_Jan_Jun2026[Sector], K$1)</f>
        <v>0</v>
      </c>
      <c r="L88" s="23">
        <f>SUMIFS(FII_DII_raw_synthetic_Jan_Jun2026[Net_Flow_Cr], FII_DII_raw_synthetic_Jan_Jun2026[Date], $A88, FII_DII_raw_synthetic_Jan_Jun2026[Entity_Type], "FII", FII_DII_raw_synthetic_Jan_Jun2026[Sector], L$1)</f>
        <v>1204.8800000000001</v>
      </c>
      <c r="M88" s="23">
        <f>SUMIFS(FII_DII_raw_synthetic_Jan_Jun2026[Net_Flow_Cr], FII_DII_raw_synthetic_Jan_Jun2026[Date], $A88, FII_DII_raw_synthetic_Jan_Jun2026[Entity_Type], "FII", FII_DII_raw_synthetic_Jan_Jun2026[Sector], M$1)</f>
        <v>0</v>
      </c>
      <c r="N88" s="23">
        <f>SUMIFS(FII_DII_raw_synthetic_Jan_Jun2026[Net_Flow_Cr], FII_DII_raw_synthetic_Jan_Jun2026[Date], $A88, FII_DII_raw_synthetic_Jan_Jun2026[Entity_Type], "FII", FII_DII_raw_synthetic_Jan_Jun2026[Sector], N$1)</f>
        <v>0</v>
      </c>
      <c r="O88" s="23">
        <f>SUMIFS(FII_DII_raw_synthetic_Jan_Jun2026[Net_Flow_Cr], FII_DII_raw_synthetic_Jan_Jun2026[Date], $A88, FII_DII_raw_synthetic_Jan_Jun2026[Entity_Type], "FII", FII_DII_raw_synthetic_Jan_Jun2026[Sector], O$1)</f>
        <v>0</v>
      </c>
      <c r="P88" s="23">
        <f>SUMIFS(FII_DII_raw_synthetic_Jan_Jun2026[Net_Flow_Cr], FII_DII_raw_synthetic_Jan_Jun2026[Date], $A88, FII_DII_raw_synthetic_Jan_Jun2026[Entity_Type], "FII", FII_DII_raw_synthetic_Jan_Jun2026[Sector], P$1)</f>
        <v>0</v>
      </c>
      <c r="Q88" s="23" cm="1">
        <f t="array" ref="Q88">SUMPRODUCT(ABS(G88:P88))</f>
        <v>1204.8800000000001</v>
      </c>
      <c r="R88" s="23" cm="1">
        <f t="array" ref="R88">LARGE(ABS(G88:P88),1)+LARGE(ABS(G88:P88),2)</f>
        <v>1204.8800000000001</v>
      </c>
      <c r="S88" s="25">
        <f t="shared" si="69"/>
        <v>1</v>
      </c>
      <c r="T88" s="23" t="str">
        <f>IFERROR(_xlfn.XLOOKUP(A88, 'Nifty 50 Historical Data'!A:A, 'Nifty 50 Historical Data'!G:G), "")</f>
        <v/>
      </c>
      <c r="W88" t="str">
        <f t="shared" si="70"/>
        <v>Aligned Flow</v>
      </c>
      <c r="Y88">
        <f t="shared" si="71"/>
        <v>18</v>
      </c>
    </row>
    <row r="89" spans="1:25">
      <c r="A89" s="24">
        <v>46146</v>
      </c>
      <c r="B89" s="23">
        <f>SUMIFS(FII_DII_raw_synthetic_Jan_Jun2026[Net_Flow_Cr], FII_DII_raw_synthetic_Jan_Jun2026[Date], A89, FII_DII_raw_synthetic_Jan_Jun2026[Entity_Type], "FII")</f>
        <v>399.83999999999992</v>
      </c>
      <c r="C89" s="23">
        <f>SUMIFS(FII_DII_raw_synthetic_Jan_Jun2026[Net_Flow_Cr], FII_DII_raw_synthetic_Jan_Jun2026[Date], A89, FII_DII_raw_synthetic_Jan_Jun2026[Entity_Type], "DII")</f>
        <v>99.620000000000061</v>
      </c>
      <c r="D89" s="23">
        <f t="shared" ref="D89:E89" si="93">AVERAGE(B85:B89)</f>
        <v>247.60199999999995</v>
      </c>
      <c r="E89" s="23">
        <f t="shared" si="93"/>
        <v>1283.952</v>
      </c>
      <c r="F89" s="23">
        <f t="shared" si="68"/>
        <v>300.21999999999986</v>
      </c>
      <c r="G89" s="23">
        <f>SUMIFS(FII_DII_raw_synthetic_Jan_Jun2026[Net_Flow_Cr], FII_DII_raw_synthetic_Jan_Jun2026[Date], $A89, FII_DII_raw_synthetic_Jan_Jun2026[Entity_Type], "FII", FII_DII_raw_synthetic_Jan_Jun2026[Sector], G$1)</f>
        <v>0</v>
      </c>
      <c r="H89" s="23">
        <f>SUMIFS(FII_DII_raw_synthetic_Jan_Jun2026[Net_Flow_Cr], FII_DII_raw_synthetic_Jan_Jun2026[Date], $A89, FII_DII_raw_synthetic_Jan_Jun2026[Entity_Type], "FII", FII_DII_raw_synthetic_Jan_Jun2026[Sector], H$1)</f>
        <v>1230.3599999999999</v>
      </c>
      <c r="I89" s="23">
        <f>SUMIFS(FII_DII_raw_synthetic_Jan_Jun2026[Net_Flow_Cr], FII_DII_raw_synthetic_Jan_Jun2026[Date], $A89, FII_DII_raw_synthetic_Jan_Jun2026[Entity_Type], "FII", FII_DII_raw_synthetic_Jan_Jun2026[Sector], I$1)</f>
        <v>73.989999999999995</v>
      </c>
      <c r="J89" s="23">
        <f>SUMIFS(FII_DII_raw_synthetic_Jan_Jun2026[Net_Flow_Cr], FII_DII_raw_synthetic_Jan_Jun2026[Date], $A89, FII_DII_raw_synthetic_Jan_Jun2026[Entity_Type], "FII", FII_DII_raw_synthetic_Jan_Jun2026[Sector], J$1)</f>
        <v>0</v>
      </c>
      <c r="K89" s="23">
        <f>SUMIFS(FII_DII_raw_synthetic_Jan_Jun2026[Net_Flow_Cr], FII_DII_raw_synthetic_Jan_Jun2026[Date], $A89, FII_DII_raw_synthetic_Jan_Jun2026[Entity_Type], "FII", FII_DII_raw_synthetic_Jan_Jun2026[Sector], K$1)</f>
        <v>0</v>
      </c>
      <c r="L89" s="23">
        <f>SUMIFS(FII_DII_raw_synthetic_Jan_Jun2026[Net_Flow_Cr], FII_DII_raw_synthetic_Jan_Jun2026[Date], $A89, FII_DII_raw_synthetic_Jan_Jun2026[Entity_Type], "FII", FII_DII_raw_synthetic_Jan_Jun2026[Sector], L$1)</f>
        <v>0</v>
      </c>
      <c r="M89" s="23">
        <f>SUMIFS(FII_DII_raw_synthetic_Jan_Jun2026[Net_Flow_Cr], FII_DII_raw_synthetic_Jan_Jun2026[Date], $A89, FII_DII_raw_synthetic_Jan_Jun2026[Entity_Type], "FII", FII_DII_raw_synthetic_Jan_Jun2026[Sector], M$1)</f>
        <v>0</v>
      </c>
      <c r="N89" s="23">
        <f>SUMIFS(FII_DII_raw_synthetic_Jan_Jun2026[Net_Flow_Cr], FII_DII_raw_synthetic_Jan_Jun2026[Date], $A89, FII_DII_raw_synthetic_Jan_Jun2026[Entity_Type], "FII", FII_DII_raw_synthetic_Jan_Jun2026[Sector], N$1)</f>
        <v>0</v>
      </c>
      <c r="O89" s="23">
        <f>SUMIFS(FII_DII_raw_synthetic_Jan_Jun2026[Net_Flow_Cr], FII_DII_raw_synthetic_Jan_Jun2026[Date], $A89, FII_DII_raw_synthetic_Jan_Jun2026[Entity_Type], "FII", FII_DII_raw_synthetic_Jan_Jun2026[Sector], O$1)</f>
        <v>0</v>
      </c>
      <c r="P89" s="23">
        <f>SUMIFS(FII_DII_raw_synthetic_Jan_Jun2026[Net_Flow_Cr], FII_DII_raw_synthetic_Jan_Jun2026[Date], $A89, FII_DII_raw_synthetic_Jan_Jun2026[Entity_Type], "FII", FII_DII_raw_synthetic_Jan_Jun2026[Sector], P$1)</f>
        <v>-904.51</v>
      </c>
      <c r="Q89" s="23" cm="1">
        <f t="array" ref="Q89">SUMPRODUCT(ABS(G89:P89))</f>
        <v>2208.8599999999997</v>
      </c>
      <c r="R89" s="23" cm="1">
        <f t="array" ref="R89">LARGE(ABS(G89:P89),1)+LARGE(ABS(G89:P89),2)</f>
        <v>2134.87</v>
      </c>
      <c r="S89" s="25">
        <f t="shared" si="69"/>
        <v>0.96650308303830945</v>
      </c>
      <c r="T89" s="23">
        <f>IFERROR(_xlfn.XLOOKUP(A89, 'Nifty 50 Historical Data'!A:A, 'Nifty 50 Historical Data'!G:G), "")</f>
        <v>0.51</v>
      </c>
      <c r="W89" t="str">
        <f t="shared" si="70"/>
        <v>Aligned Flow</v>
      </c>
      <c r="Y89">
        <f t="shared" si="71"/>
        <v>19</v>
      </c>
    </row>
    <row r="90" spans="1:25">
      <c r="A90" s="24">
        <v>46147</v>
      </c>
      <c r="B90" s="23">
        <f>SUMIFS(FII_DII_raw_synthetic_Jan_Jun2026[Net_Flow_Cr], FII_DII_raw_synthetic_Jan_Jun2026[Date], A90, FII_DII_raw_synthetic_Jan_Jun2026[Entity_Type], "FII")</f>
        <v>-297.64999999999998</v>
      </c>
      <c r="C90" s="23">
        <f>SUMIFS(FII_DII_raw_synthetic_Jan_Jun2026[Net_Flow_Cr], FII_DII_raw_synthetic_Jan_Jun2026[Date], A90, FII_DII_raw_synthetic_Jan_Jun2026[Entity_Type], "DII")</f>
        <v>-642.07999999999993</v>
      </c>
      <c r="D90" s="23">
        <f t="shared" ref="D90:E90" si="94">AVERAGE(B86:B90)</f>
        <v>596.94600000000003</v>
      </c>
      <c r="E90" s="23">
        <f t="shared" si="94"/>
        <v>843.89799999999991</v>
      </c>
      <c r="F90" s="23">
        <f t="shared" si="68"/>
        <v>-344.42999999999995</v>
      </c>
      <c r="G90" s="23">
        <f>SUMIFS(FII_DII_raw_synthetic_Jan_Jun2026[Net_Flow_Cr], FII_DII_raw_synthetic_Jan_Jun2026[Date], $A90, FII_DII_raw_synthetic_Jan_Jun2026[Entity_Type], "FII", FII_DII_raw_synthetic_Jan_Jun2026[Sector], G$1)</f>
        <v>0</v>
      </c>
      <c r="H90" s="23">
        <f>SUMIFS(FII_DII_raw_synthetic_Jan_Jun2026[Net_Flow_Cr], FII_DII_raw_synthetic_Jan_Jun2026[Date], $A90, FII_DII_raw_synthetic_Jan_Jun2026[Entity_Type], "FII", FII_DII_raw_synthetic_Jan_Jun2026[Sector], H$1)</f>
        <v>0</v>
      </c>
      <c r="I90" s="23">
        <f>SUMIFS(FII_DII_raw_synthetic_Jan_Jun2026[Net_Flow_Cr], FII_DII_raw_synthetic_Jan_Jun2026[Date], $A90, FII_DII_raw_synthetic_Jan_Jun2026[Entity_Type], "FII", FII_DII_raw_synthetic_Jan_Jun2026[Sector], I$1)</f>
        <v>0</v>
      </c>
      <c r="J90" s="23">
        <f>SUMIFS(FII_DII_raw_synthetic_Jan_Jun2026[Net_Flow_Cr], FII_DII_raw_synthetic_Jan_Jun2026[Date], $A90, FII_DII_raw_synthetic_Jan_Jun2026[Entity_Type], "FII", FII_DII_raw_synthetic_Jan_Jun2026[Sector], J$1)</f>
        <v>-607.66</v>
      </c>
      <c r="K90" s="23">
        <f>SUMIFS(FII_DII_raw_synthetic_Jan_Jun2026[Net_Flow_Cr], FII_DII_raw_synthetic_Jan_Jun2026[Date], $A90, FII_DII_raw_synthetic_Jan_Jun2026[Entity_Type], "FII", FII_DII_raw_synthetic_Jan_Jun2026[Sector], K$1)</f>
        <v>0</v>
      </c>
      <c r="L90" s="23">
        <f>SUMIFS(FII_DII_raw_synthetic_Jan_Jun2026[Net_Flow_Cr], FII_DII_raw_synthetic_Jan_Jun2026[Date], $A90, FII_DII_raw_synthetic_Jan_Jun2026[Entity_Type], "FII", FII_DII_raw_synthetic_Jan_Jun2026[Sector], L$1)</f>
        <v>145.68</v>
      </c>
      <c r="M90" s="23">
        <f>SUMIFS(FII_DII_raw_synthetic_Jan_Jun2026[Net_Flow_Cr], FII_DII_raw_synthetic_Jan_Jun2026[Date], $A90, FII_DII_raw_synthetic_Jan_Jun2026[Entity_Type], "FII", FII_DII_raw_synthetic_Jan_Jun2026[Sector], M$1)</f>
        <v>0</v>
      </c>
      <c r="N90" s="23">
        <f>SUMIFS(FII_DII_raw_synthetic_Jan_Jun2026[Net_Flow_Cr], FII_DII_raw_synthetic_Jan_Jun2026[Date], $A90, FII_DII_raw_synthetic_Jan_Jun2026[Entity_Type], "FII", FII_DII_raw_synthetic_Jan_Jun2026[Sector], N$1)</f>
        <v>164.32999999999998</v>
      </c>
      <c r="O90" s="23">
        <f>SUMIFS(FII_DII_raw_synthetic_Jan_Jun2026[Net_Flow_Cr], FII_DII_raw_synthetic_Jan_Jun2026[Date], $A90, FII_DII_raw_synthetic_Jan_Jun2026[Entity_Type], "FII", FII_DII_raw_synthetic_Jan_Jun2026[Sector], O$1)</f>
        <v>0</v>
      </c>
      <c r="P90" s="23">
        <f>SUMIFS(FII_DII_raw_synthetic_Jan_Jun2026[Net_Flow_Cr], FII_DII_raw_synthetic_Jan_Jun2026[Date], $A90, FII_DII_raw_synthetic_Jan_Jun2026[Entity_Type], "FII", FII_DII_raw_synthetic_Jan_Jun2026[Sector], P$1)</f>
        <v>0</v>
      </c>
      <c r="Q90" s="23" cm="1">
        <f t="array" ref="Q90">SUMPRODUCT(ABS(G90:P90))</f>
        <v>917.66999999999985</v>
      </c>
      <c r="R90" s="23" cm="1">
        <f t="array" ref="R90">LARGE(ABS(G90:P90),1)+LARGE(ABS(G90:P90),2)</f>
        <v>771.99</v>
      </c>
      <c r="S90" s="25">
        <f t="shared" si="69"/>
        <v>0.84125012259308918</v>
      </c>
      <c r="T90" s="23">
        <f>IFERROR(_xlfn.XLOOKUP(A90, 'Nifty 50 Historical Data'!A:A, 'Nifty 50 Historical Data'!G:G), "")</f>
        <v>-0.36</v>
      </c>
      <c r="W90" t="str">
        <f t="shared" si="70"/>
        <v>Aligned Flow</v>
      </c>
      <c r="Y90">
        <f t="shared" si="71"/>
        <v>19</v>
      </c>
    </row>
    <row r="91" spans="1:25">
      <c r="A91" s="24">
        <v>46148</v>
      </c>
      <c r="B91" s="23">
        <f>SUMIFS(FII_DII_raw_synthetic_Jan_Jun2026[Net_Flow_Cr], FII_DII_raw_synthetic_Jan_Jun2026[Date], A91, FII_DII_raw_synthetic_Jan_Jun2026[Entity_Type], "FII")</f>
        <v>-507.68000000000006</v>
      </c>
      <c r="C91" s="23">
        <f>SUMIFS(FII_DII_raw_synthetic_Jan_Jun2026[Net_Flow_Cr], FII_DII_raw_synthetic_Jan_Jun2026[Date], A91, FII_DII_raw_synthetic_Jan_Jun2026[Entity_Type], "DII")</f>
        <v>52.150000000000077</v>
      </c>
      <c r="D91" s="23">
        <f t="shared" ref="D91:E91" si="95">AVERAGE(B87:B91)</f>
        <v>402.83000000000004</v>
      </c>
      <c r="E91" s="23">
        <f t="shared" si="95"/>
        <v>512.38800000000003</v>
      </c>
      <c r="F91" s="23">
        <f t="shared" si="68"/>
        <v>455.53</v>
      </c>
      <c r="G91" s="23">
        <f>SUMIFS(FII_DII_raw_synthetic_Jan_Jun2026[Net_Flow_Cr], FII_DII_raw_synthetic_Jan_Jun2026[Date], $A91, FII_DII_raw_synthetic_Jan_Jun2026[Entity_Type], "FII", FII_DII_raw_synthetic_Jan_Jun2026[Sector], G$1)</f>
        <v>-1062.3800000000001</v>
      </c>
      <c r="H91" s="23">
        <f>SUMIFS(FII_DII_raw_synthetic_Jan_Jun2026[Net_Flow_Cr], FII_DII_raw_synthetic_Jan_Jun2026[Date], $A91, FII_DII_raw_synthetic_Jan_Jun2026[Entity_Type], "FII", FII_DII_raw_synthetic_Jan_Jun2026[Sector], H$1)</f>
        <v>0</v>
      </c>
      <c r="I91" s="23">
        <f>SUMIFS(FII_DII_raw_synthetic_Jan_Jun2026[Net_Flow_Cr], FII_DII_raw_synthetic_Jan_Jun2026[Date], $A91, FII_DII_raw_synthetic_Jan_Jun2026[Entity_Type], "FII", FII_DII_raw_synthetic_Jan_Jun2026[Sector], I$1)</f>
        <v>1336.78</v>
      </c>
      <c r="J91" s="23">
        <f>SUMIFS(FII_DII_raw_synthetic_Jan_Jun2026[Net_Flow_Cr], FII_DII_raw_synthetic_Jan_Jun2026[Date], $A91, FII_DII_raw_synthetic_Jan_Jun2026[Entity_Type], "FII", FII_DII_raw_synthetic_Jan_Jun2026[Sector], J$1)</f>
        <v>0</v>
      </c>
      <c r="K91" s="23">
        <f>SUMIFS(FII_DII_raw_synthetic_Jan_Jun2026[Net_Flow_Cr], FII_DII_raw_synthetic_Jan_Jun2026[Date], $A91, FII_DII_raw_synthetic_Jan_Jun2026[Entity_Type], "FII", FII_DII_raw_synthetic_Jan_Jun2026[Sector], K$1)</f>
        <v>0</v>
      </c>
      <c r="L91" s="23">
        <f>SUMIFS(FII_DII_raw_synthetic_Jan_Jun2026[Net_Flow_Cr], FII_DII_raw_synthetic_Jan_Jun2026[Date], $A91, FII_DII_raw_synthetic_Jan_Jun2026[Entity_Type], "FII", FII_DII_raw_synthetic_Jan_Jun2026[Sector], L$1)</f>
        <v>0</v>
      </c>
      <c r="M91" s="23">
        <f>SUMIFS(FII_DII_raw_synthetic_Jan_Jun2026[Net_Flow_Cr], FII_DII_raw_synthetic_Jan_Jun2026[Date], $A91, FII_DII_raw_synthetic_Jan_Jun2026[Entity_Type], "FII", FII_DII_raw_synthetic_Jan_Jun2026[Sector], M$1)</f>
        <v>-294.05</v>
      </c>
      <c r="N91" s="23">
        <f>SUMIFS(FII_DII_raw_synthetic_Jan_Jun2026[Net_Flow_Cr], FII_DII_raw_synthetic_Jan_Jun2026[Date], $A91, FII_DII_raw_synthetic_Jan_Jun2026[Entity_Type], "FII", FII_DII_raw_synthetic_Jan_Jun2026[Sector], N$1)</f>
        <v>-565.91999999999996</v>
      </c>
      <c r="O91" s="23">
        <f>SUMIFS(FII_DII_raw_synthetic_Jan_Jun2026[Net_Flow_Cr], FII_DII_raw_synthetic_Jan_Jun2026[Date], $A91, FII_DII_raw_synthetic_Jan_Jun2026[Entity_Type], "FII", FII_DII_raw_synthetic_Jan_Jun2026[Sector], O$1)</f>
        <v>77.89</v>
      </c>
      <c r="P91" s="23">
        <f>SUMIFS(FII_DII_raw_synthetic_Jan_Jun2026[Net_Flow_Cr], FII_DII_raw_synthetic_Jan_Jun2026[Date], $A91, FII_DII_raw_synthetic_Jan_Jun2026[Entity_Type], "FII", FII_DII_raw_synthetic_Jan_Jun2026[Sector], P$1)</f>
        <v>0</v>
      </c>
      <c r="Q91" s="23" cm="1">
        <f t="array" ref="Q91">SUMPRODUCT(ABS(G91:P91))</f>
        <v>3337.02</v>
      </c>
      <c r="R91" s="23" cm="1">
        <f t="array" ref="R91">LARGE(ABS(G91:P91),1)+LARGE(ABS(G91:P91),2)</f>
        <v>2399.16</v>
      </c>
      <c r="S91" s="25">
        <f t="shared" si="69"/>
        <v>0.71895283816099387</v>
      </c>
      <c r="T91" s="23">
        <f>IFERROR(_xlfn.XLOOKUP(A91, 'Nifty 50 Historical Data'!A:A, 'Nifty 50 Historical Data'!G:G), "")</f>
        <v>1.24</v>
      </c>
      <c r="W91" t="str">
        <f t="shared" si="70"/>
        <v>Divergent Flow</v>
      </c>
      <c r="Y91">
        <f t="shared" si="71"/>
        <v>19</v>
      </c>
    </row>
    <row r="92" spans="1:25">
      <c r="A92" s="24">
        <v>46149</v>
      </c>
      <c r="B92" s="23">
        <f>SUMIFS(FII_DII_raw_synthetic_Jan_Jun2026[Net_Flow_Cr], FII_DII_raw_synthetic_Jan_Jun2026[Date], A92, FII_DII_raw_synthetic_Jan_Jun2026[Entity_Type], "FII")</f>
        <v>784.98</v>
      </c>
      <c r="C92" s="23">
        <f>SUMIFS(FII_DII_raw_synthetic_Jan_Jun2026[Net_Flow_Cr], FII_DII_raw_synthetic_Jan_Jun2026[Date], A92, FII_DII_raw_synthetic_Jan_Jun2026[Entity_Type], "DII")</f>
        <v>2153.56</v>
      </c>
      <c r="D92" s="23">
        <f t="shared" ref="D92:E92" si="96">AVERAGE(B88:B92)</f>
        <v>316.87400000000002</v>
      </c>
      <c r="E92" s="23">
        <f t="shared" si="96"/>
        <v>763.35799999999995</v>
      </c>
      <c r="F92" s="23">
        <f t="shared" si="68"/>
        <v>-1368.58</v>
      </c>
      <c r="G92" s="23">
        <f>SUMIFS(FII_DII_raw_synthetic_Jan_Jun2026[Net_Flow_Cr], FII_DII_raw_synthetic_Jan_Jun2026[Date], $A92, FII_DII_raw_synthetic_Jan_Jun2026[Entity_Type], "FII", FII_DII_raw_synthetic_Jan_Jun2026[Sector], G$1)</f>
        <v>1261.19</v>
      </c>
      <c r="H92" s="23">
        <f>SUMIFS(FII_DII_raw_synthetic_Jan_Jun2026[Net_Flow_Cr], FII_DII_raw_synthetic_Jan_Jun2026[Date], $A92, FII_DII_raw_synthetic_Jan_Jun2026[Entity_Type], "FII", FII_DII_raw_synthetic_Jan_Jun2026[Sector], H$1)</f>
        <v>0</v>
      </c>
      <c r="I92" s="23">
        <f>SUMIFS(FII_DII_raw_synthetic_Jan_Jun2026[Net_Flow_Cr], FII_DII_raw_synthetic_Jan_Jun2026[Date], $A92, FII_DII_raw_synthetic_Jan_Jun2026[Entity_Type], "FII", FII_DII_raw_synthetic_Jan_Jun2026[Sector], I$1)</f>
        <v>0</v>
      </c>
      <c r="J92" s="23">
        <f>SUMIFS(FII_DII_raw_synthetic_Jan_Jun2026[Net_Flow_Cr], FII_DII_raw_synthetic_Jan_Jun2026[Date], $A92, FII_DII_raw_synthetic_Jan_Jun2026[Entity_Type], "FII", FII_DII_raw_synthetic_Jan_Jun2026[Sector], J$1)</f>
        <v>0</v>
      </c>
      <c r="K92" s="23">
        <f>SUMIFS(FII_DII_raw_synthetic_Jan_Jun2026[Net_Flow_Cr], FII_DII_raw_synthetic_Jan_Jun2026[Date], $A92, FII_DII_raw_synthetic_Jan_Jun2026[Entity_Type], "FII", FII_DII_raw_synthetic_Jan_Jun2026[Sector], K$1)</f>
        <v>47.56</v>
      </c>
      <c r="L92" s="23">
        <f>SUMIFS(FII_DII_raw_synthetic_Jan_Jun2026[Net_Flow_Cr], FII_DII_raw_synthetic_Jan_Jun2026[Date], $A92, FII_DII_raw_synthetic_Jan_Jun2026[Entity_Type], "FII", FII_DII_raw_synthetic_Jan_Jun2026[Sector], L$1)</f>
        <v>0</v>
      </c>
      <c r="M92" s="23">
        <f>SUMIFS(FII_DII_raw_synthetic_Jan_Jun2026[Net_Flow_Cr], FII_DII_raw_synthetic_Jan_Jun2026[Date], $A92, FII_DII_raw_synthetic_Jan_Jun2026[Entity_Type], "FII", FII_DII_raw_synthetic_Jan_Jun2026[Sector], M$1)</f>
        <v>-91.52</v>
      </c>
      <c r="N92" s="23">
        <f>SUMIFS(FII_DII_raw_synthetic_Jan_Jun2026[Net_Flow_Cr], FII_DII_raw_synthetic_Jan_Jun2026[Date], $A92, FII_DII_raw_synthetic_Jan_Jun2026[Entity_Type], "FII", FII_DII_raw_synthetic_Jan_Jun2026[Sector], N$1)</f>
        <v>-432.25</v>
      </c>
      <c r="O92" s="23">
        <f>SUMIFS(FII_DII_raw_synthetic_Jan_Jun2026[Net_Flow_Cr], FII_DII_raw_synthetic_Jan_Jun2026[Date], $A92, FII_DII_raw_synthetic_Jan_Jun2026[Entity_Type], "FII", FII_DII_raw_synthetic_Jan_Jun2026[Sector], O$1)</f>
        <v>0</v>
      </c>
      <c r="P92" s="23">
        <f>SUMIFS(FII_DII_raw_synthetic_Jan_Jun2026[Net_Flow_Cr], FII_DII_raw_synthetic_Jan_Jun2026[Date], $A92, FII_DII_raw_synthetic_Jan_Jun2026[Entity_Type], "FII", FII_DII_raw_synthetic_Jan_Jun2026[Sector], P$1)</f>
        <v>0</v>
      </c>
      <c r="Q92" s="23" cm="1">
        <f t="array" ref="Q92">SUMPRODUCT(ABS(G92:P92))</f>
        <v>1832.52</v>
      </c>
      <c r="R92" s="23" cm="1">
        <f t="array" ref="R92">LARGE(ABS(G92:P92),1)+LARGE(ABS(G92:P92),2)</f>
        <v>1693.44</v>
      </c>
      <c r="S92" s="25">
        <f t="shared" si="69"/>
        <v>0.92410451181978914</v>
      </c>
      <c r="T92" s="23">
        <f>IFERROR(_xlfn.XLOOKUP(A92, 'Nifty 50 Historical Data'!A:A, 'Nifty 50 Historical Data'!G:G), "")</f>
        <v>-0.02</v>
      </c>
      <c r="W92" t="str">
        <f t="shared" si="70"/>
        <v>Aligned Flow</v>
      </c>
      <c r="Y92">
        <f t="shared" si="71"/>
        <v>19</v>
      </c>
    </row>
    <row r="93" spans="1:25">
      <c r="A93" s="24">
        <v>46150</v>
      </c>
      <c r="B93" s="23">
        <f>SUMIFS(FII_DII_raw_synthetic_Jan_Jun2026[Net_Flow_Cr], FII_DII_raw_synthetic_Jan_Jun2026[Date], A93, FII_DII_raw_synthetic_Jan_Jun2026[Entity_Type], "FII")</f>
        <v>-1435.66</v>
      </c>
      <c r="C93" s="23">
        <f>SUMIFS(FII_DII_raw_synthetic_Jan_Jun2026[Net_Flow_Cr], FII_DII_raw_synthetic_Jan_Jun2026[Date], A93, FII_DII_raw_synthetic_Jan_Jun2026[Entity_Type], "DII")</f>
        <v>-1644.15</v>
      </c>
      <c r="D93" s="23">
        <f t="shared" ref="D93:E93" si="97">AVERAGE(B89:B93)</f>
        <v>-211.23400000000001</v>
      </c>
      <c r="E93" s="23">
        <f t="shared" si="97"/>
        <v>3.8200000000000274</v>
      </c>
      <c r="F93" s="23">
        <f t="shared" si="68"/>
        <v>-208.49</v>
      </c>
      <c r="G93" s="23">
        <f>SUMIFS(FII_DII_raw_synthetic_Jan_Jun2026[Net_Flow_Cr], FII_DII_raw_synthetic_Jan_Jun2026[Date], $A93, FII_DII_raw_synthetic_Jan_Jun2026[Entity_Type], "FII", FII_DII_raw_synthetic_Jan_Jun2026[Sector], G$1)</f>
        <v>0</v>
      </c>
      <c r="H93" s="23">
        <f>SUMIFS(FII_DII_raw_synthetic_Jan_Jun2026[Net_Flow_Cr], FII_DII_raw_synthetic_Jan_Jun2026[Date], $A93, FII_DII_raw_synthetic_Jan_Jun2026[Entity_Type], "FII", FII_DII_raw_synthetic_Jan_Jun2026[Sector], H$1)</f>
        <v>0</v>
      </c>
      <c r="I93" s="23">
        <f>SUMIFS(FII_DII_raw_synthetic_Jan_Jun2026[Net_Flow_Cr], FII_DII_raw_synthetic_Jan_Jun2026[Date], $A93, FII_DII_raw_synthetic_Jan_Jun2026[Entity_Type], "FII", FII_DII_raw_synthetic_Jan_Jun2026[Sector], I$1)</f>
        <v>0</v>
      </c>
      <c r="J93" s="23">
        <f>SUMIFS(FII_DII_raw_synthetic_Jan_Jun2026[Net_Flow_Cr], FII_DII_raw_synthetic_Jan_Jun2026[Date], $A93, FII_DII_raw_synthetic_Jan_Jun2026[Entity_Type], "FII", FII_DII_raw_synthetic_Jan_Jun2026[Sector], J$1)</f>
        <v>0</v>
      </c>
      <c r="K93" s="23">
        <f>SUMIFS(FII_DII_raw_synthetic_Jan_Jun2026[Net_Flow_Cr], FII_DII_raw_synthetic_Jan_Jun2026[Date], $A93, FII_DII_raw_synthetic_Jan_Jun2026[Entity_Type], "FII", FII_DII_raw_synthetic_Jan_Jun2026[Sector], K$1)</f>
        <v>0</v>
      </c>
      <c r="L93" s="23">
        <f>SUMIFS(FII_DII_raw_synthetic_Jan_Jun2026[Net_Flow_Cr], FII_DII_raw_synthetic_Jan_Jun2026[Date], $A93, FII_DII_raw_synthetic_Jan_Jun2026[Entity_Type], "FII", FII_DII_raw_synthetic_Jan_Jun2026[Sector], L$1)</f>
        <v>0</v>
      </c>
      <c r="M93" s="23">
        <f>SUMIFS(FII_DII_raw_synthetic_Jan_Jun2026[Net_Flow_Cr], FII_DII_raw_synthetic_Jan_Jun2026[Date], $A93, FII_DII_raw_synthetic_Jan_Jun2026[Entity_Type], "FII", FII_DII_raw_synthetic_Jan_Jun2026[Sector], M$1)</f>
        <v>0</v>
      </c>
      <c r="N93" s="23">
        <f>SUMIFS(FII_DII_raw_synthetic_Jan_Jun2026[Net_Flow_Cr], FII_DII_raw_synthetic_Jan_Jun2026[Date], $A93, FII_DII_raw_synthetic_Jan_Jun2026[Entity_Type], "FII", FII_DII_raw_synthetic_Jan_Jun2026[Sector], N$1)</f>
        <v>-488.84</v>
      </c>
      <c r="O93" s="23">
        <f>SUMIFS(FII_DII_raw_synthetic_Jan_Jun2026[Net_Flow_Cr], FII_DII_raw_synthetic_Jan_Jun2026[Date], $A93, FII_DII_raw_synthetic_Jan_Jun2026[Entity_Type], "FII", FII_DII_raw_synthetic_Jan_Jun2026[Sector], O$1)</f>
        <v>-1414.4</v>
      </c>
      <c r="P93" s="23">
        <f>SUMIFS(FII_DII_raw_synthetic_Jan_Jun2026[Net_Flow_Cr], FII_DII_raw_synthetic_Jan_Jun2026[Date], $A93, FII_DII_raw_synthetic_Jan_Jun2026[Entity_Type], "FII", FII_DII_raw_synthetic_Jan_Jun2026[Sector], P$1)</f>
        <v>467.58</v>
      </c>
      <c r="Q93" s="23" cm="1">
        <f t="array" ref="Q93">SUMPRODUCT(ABS(G93:P93))</f>
        <v>2370.8200000000002</v>
      </c>
      <c r="R93" s="23" cm="1">
        <f t="array" ref="R93">LARGE(ABS(G93:P93),1)+LARGE(ABS(G93:P93),2)</f>
        <v>1903.24</v>
      </c>
      <c r="S93" s="25">
        <f t="shared" si="69"/>
        <v>0.80277709821918153</v>
      </c>
      <c r="T93" s="23">
        <f>IFERROR(_xlfn.XLOOKUP(A93, 'Nifty 50 Historical Data'!A:A, 'Nifty 50 Historical Data'!G:G), "")</f>
        <v>-0.62</v>
      </c>
      <c r="W93" t="str">
        <f t="shared" si="70"/>
        <v>Aligned Flow</v>
      </c>
      <c r="Y93">
        <f t="shared" si="71"/>
        <v>19</v>
      </c>
    </row>
    <row r="94" spans="1:25">
      <c r="A94" s="24">
        <v>46153</v>
      </c>
      <c r="B94" s="23">
        <f>SUMIFS(FII_DII_raw_synthetic_Jan_Jun2026[Net_Flow_Cr], FII_DII_raw_synthetic_Jan_Jun2026[Date], A94, FII_DII_raw_synthetic_Jan_Jun2026[Entity_Type], "FII")</f>
        <v>230.22999999999996</v>
      </c>
      <c r="C94" s="23">
        <f>SUMIFS(FII_DII_raw_synthetic_Jan_Jun2026[Net_Flow_Cr], FII_DII_raw_synthetic_Jan_Jun2026[Date], A94, FII_DII_raw_synthetic_Jan_Jun2026[Entity_Type], "DII")</f>
        <v>-1737.7000000000003</v>
      </c>
      <c r="D94" s="23">
        <f t="shared" ref="D94:E94" si="98">AVERAGE(B90:B94)</f>
        <v>-245.15600000000003</v>
      </c>
      <c r="E94" s="23">
        <f t="shared" si="98"/>
        <v>-363.64400000000006</v>
      </c>
      <c r="F94" s="23">
        <f t="shared" si="68"/>
        <v>-1507.4700000000003</v>
      </c>
      <c r="G94" s="23">
        <f>SUMIFS(FII_DII_raw_synthetic_Jan_Jun2026[Net_Flow_Cr], FII_DII_raw_synthetic_Jan_Jun2026[Date], $A94, FII_DII_raw_synthetic_Jan_Jun2026[Entity_Type], "FII", FII_DII_raw_synthetic_Jan_Jun2026[Sector], G$1)</f>
        <v>0</v>
      </c>
      <c r="H94" s="23">
        <f>SUMIFS(FII_DII_raw_synthetic_Jan_Jun2026[Net_Flow_Cr], FII_DII_raw_synthetic_Jan_Jun2026[Date], $A94, FII_DII_raw_synthetic_Jan_Jun2026[Entity_Type], "FII", FII_DII_raw_synthetic_Jan_Jun2026[Sector], H$1)</f>
        <v>0</v>
      </c>
      <c r="I94" s="23">
        <f>SUMIFS(FII_DII_raw_synthetic_Jan_Jun2026[Net_Flow_Cr], FII_DII_raw_synthetic_Jan_Jun2026[Date], $A94, FII_DII_raw_synthetic_Jan_Jun2026[Entity_Type], "FII", FII_DII_raw_synthetic_Jan_Jun2026[Sector], I$1)</f>
        <v>-188.43</v>
      </c>
      <c r="J94" s="23">
        <f>SUMIFS(FII_DII_raw_synthetic_Jan_Jun2026[Net_Flow_Cr], FII_DII_raw_synthetic_Jan_Jun2026[Date], $A94, FII_DII_raw_synthetic_Jan_Jun2026[Entity_Type], "FII", FII_DII_raw_synthetic_Jan_Jun2026[Sector], J$1)</f>
        <v>0</v>
      </c>
      <c r="K94" s="23">
        <f>SUMIFS(FII_DII_raw_synthetic_Jan_Jun2026[Net_Flow_Cr], FII_DII_raw_synthetic_Jan_Jun2026[Date], $A94, FII_DII_raw_synthetic_Jan_Jun2026[Entity_Type], "FII", FII_DII_raw_synthetic_Jan_Jun2026[Sector], K$1)</f>
        <v>0</v>
      </c>
      <c r="L94" s="23">
        <f>SUMIFS(FII_DII_raw_synthetic_Jan_Jun2026[Net_Flow_Cr], FII_DII_raw_synthetic_Jan_Jun2026[Date], $A94, FII_DII_raw_synthetic_Jan_Jun2026[Entity_Type], "FII", FII_DII_raw_synthetic_Jan_Jun2026[Sector], L$1)</f>
        <v>0</v>
      </c>
      <c r="M94" s="23">
        <f>SUMIFS(FII_DII_raw_synthetic_Jan_Jun2026[Net_Flow_Cr], FII_DII_raw_synthetic_Jan_Jun2026[Date], $A94, FII_DII_raw_synthetic_Jan_Jun2026[Entity_Type], "FII", FII_DII_raw_synthetic_Jan_Jun2026[Sector], M$1)</f>
        <v>985.87</v>
      </c>
      <c r="N94" s="23">
        <f>SUMIFS(FII_DII_raw_synthetic_Jan_Jun2026[Net_Flow_Cr], FII_DII_raw_synthetic_Jan_Jun2026[Date], $A94, FII_DII_raw_synthetic_Jan_Jun2026[Entity_Type], "FII", FII_DII_raw_synthetic_Jan_Jun2026[Sector], N$1)</f>
        <v>0</v>
      </c>
      <c r="O94" s="23">
        <f>SUMIFS(FII_DII_raw_synthetic_Jan_Jun2026[Net_Flow_Cr], FII_DII_raw_synthetic_Jan_Jun2026[Date], $A94, FII_DII_raw_synthetic_Jan_Jun2026[Entity_Type], "FII", FII_DII_raw_synthetic_Jan_Jun2026[Sector], O$1)</f>
        <v>-567.21</v>
      </c>
      <c r="P94" s="23">
        <f>SUMIFS(FII_DII_raw_synthetic_Jan_Jun2026[Net_Flow_Cr], FII_DII_raw_synthetic_Jan_Jun2026[Date], $A94, FII_DII_raw_synthetic_Jan_Jun2026[Entity_Type], "FII", FII_DII_raw_synthetic_Jan_Jun2026[Sector], P$1)</f>
        <v>0</v>
      </c>
      <c r="Q94" s="23" cm="1">
        <f t="array" ref="Q94">SUMPRODUCT(ABS(G94:P94))</f>
        <v>1741.51</v>
      </c>
      <c r="R94" s="23" cm="1">
        <f t="array" ref="R94">LARGE(ABS(G94:P94),1)+LARGE(ABS(G94:P94),2)</f>
        <v>1553.08</v>
      </c>
      <c r="S94" s="25">
        <f t="shared" si="69"/>
        <v>0.89180079356420572</v>
      </c>
      <c r="T94" s="23">
        <f>IFERROR(_xlfn.XLOOKUP(A94, 'Nifty 50 Historical Data'!A:A, 'Nifty 50 Historical Data'!G:G), "")</f>
        <v>-1.49</v>
      </c>
      <c r="W94" t="str">
        <f t="shared" si="70"/>
        <v>Divergent Flow</v>
      </c>
      <c r="Y94">
        <f t="shared" si="71"/>
        <v>20</v>
      </c>
    </row>
    <row r="95" spans="1:25">
      <c r="A95" s="24">
        <v>46154</v>
      </c>
      <c r="B95" s="23">
        <f>SUMIFS(FII_DII_raw_synthetic_Jan_Jun2026[Net_Flow_Cr], FII_DII_raw_synthetic_Jan_Jun2026[Date], A95, FII_DII_raw_synthetic_Jan_Jun2026[Entity_Type], "FII")</f>
        <v>1165.8500000000001</v>
      </c>
      <c r="C95" s="23">
        <f>SUMIFS(FII_DII_raw_synthetic_Jan_Jun2026[Net_Flow_Cr], FII_DII_raw_synthetic_Jan_Jun2026[Date], A95, FII_DII_raw_synthetic_Jan_Jun2026[Entity_Type], "DII")</f>
        <v>1203.9899999999996</v>
      </c>
      <c r="D95" s="23">
        <f t="shared" ref="D95:E95" si="99">AVERAGE(B91:B95)</f>
        <v>47.544000000000004</v>
      </c>
      <c r="E95" s="23">
        <f t="shared" si="99"/>
        <v>5.5699999999998457</v>
      </c>
      <c r="F95" s="23">
        <f t="shared" si="68"/>
        <v>-38.139999999999418</v>
      </c>
      <c r="G95" s="23">
        <f>SUMIFS(FII_DII_raw_synthetic_Jan_Jun2026[Net_Flow_Cr], FII_DII_raw_synthetic_Jan_Jun2026[Date], $A95, FII_DII_raw_synthetic_Jan_Jun2026[Entity_Type], "FII", FII_DII_raw_synthetic_Jan_Jun2026[Sector], G$1)</f>
        <v>0</v>
      </c>
      <c r="H95" s="23">
        <f>SUMIFS(FII_DII_raw_synthetic_Jan_Jun2026[Net_Flow_Cr], FII_DII_raw_synthetic_Jan_Jun2026[Date], $A95, FII_DII_raw_synthetic_Jan_Jun2026[Entity_Type], "FII", FII_DII_raw_synthetic_Jan_Jun2026[Sector], H$1)</f>
        <v>1520.39</v>
      </c>
      <c r="I95" s="23">
        <f>SUMIFS(FII_DII_raw_synthetic_Jan_Jun2026[Net_Flow_Cr], FII_DII_raw_synthetic_Jan_Jun2026[Date], $A95, FII_DII_raw_synthetic_Jan_Jun2026[Entity_Type], "FII", FII_DII_raw_synthetic_Jan_Jun2026[Sector], I$1)</f>
        <v>0</v>
      </c>
      <c r="J95" s="23">
        <f>SUMIFS(FII_DII_raw_synthetic_Jan_Jun2026[Net_Flow_Cr], FII_DII_raw_synthetic_Jan_Jun2026[Date], $A95, FII_DII_raw_synthetic_Jan_Jun2026[Entity_Type], "FII", FII_DII_raw_synthetic_Jan_Jun2026[Sector], J$1)</f>
        <v>0</v>
      </c>
      <c r="K95" s="23">
        <f>SUMIFS(FII_DII_raw_synthetic_Jan_Jun2026[Net_Flow_Cr], FII_DII_raw_synthetic_Jan_Jun2026[Date], $A95, FII_DII_raw_synthetic_Jan_Jun2026[Entity_Type], "FII", FII_DII_raw_synthetic_Jan_Jun2026[Sector], K$1)</f>
        <v>161.21</v>
      </c>
      <c r="L95" s="23">
        <f>SUMIFS(FII_DII_raw_synthetic_Jan_Jun2026[Net_Flow_Cr], FII_DII_raw_synthetic_Jan_Jun2026[Date], $A95, FII_DII_raw_synthetic_Jan_Jun2026[Entity_Type], "FII", FII_DII_raw_synthetic_Jan_Jun2026[Sector], L$1)</f>
        <v>0</v>
      </c>
      <c r="M95" s="23">
        <f>SUMIFS(FII_DII_raw_synthetic_Jan_Jun2026[Net_Flow_Cr], FII_DII_raw_synthetic_Jan_Jun2026[Date], $A95, FII_DII_raw_synthetic_Jan_Jun2026[Entity_Type], "FII", FII_DII_raw_synthetic_Jan_Jun2026[Sector], M$1)</f>
        <v>1229.57</v>
      </c>
      <c r="N95" s="23">
        <f>SUMIFS(FII_DII_raw_synthetic_Jan_Jun2026[Net_Flow_Cr], FII_DII_raw_synthetic_Jan_Jun2026[Date], $A95, FII_DII_raw_synthetic_Jan_Jun2026[Entity_Type], "FII", FII_DII_raw_synthetic_Jan_Jun2026[Sector], N$1)</f>
        <v>0</v>
      </c>
      <c r="O95" s="23">
        <f>SUMIFS(FII_DII_raw_synthetic_Jan_Jun2026[Net_Flow_Cr], FII_DII_raw_synthetic_Jan_Jun2026[Date], $A95, FII_DII_raw_synthetic_Jan_Jun2026[Entity_Type], "FII", FII_DII_raw_synthetic_Jan_Jun2026[Sector], O$1)</f>
        <v>0</v>
      </c>
      <c r="P95" s="23">
        <f>SUMIFS(FII_DII_raw_synthetic_Jan_Jun2026[Net_Flow_Cr], FII_DII_raw_synthetic_Jan_Jun2026[Date], $A95, FII_DII_raw_synthetic_Jan_Jun2026[Entity_Type], "FII", FII_DII_raw_synthetic_Jan_Jun2026[Sector], P$1)</f>
        <v>-1745.32</v>
      </c>
      <c r="Q95" s="23" cm="1">
        <f t="array" ref="Q95">SUMPRODUCT(ABS(G95:P95))</f>
        <v>4656.49</v>
      </c>
      <c r="R95" s="23" cm="1">
        <f t="array" ref="R95">LARGE(ABS(G95:P95),1)+LARGE(ABS(G95:P95),2)</f>
        <v>3265.71</v>
      </c>
      <c r="S95" s="25">
        <f t="shared" si="69"/>
        <v>0.70132438811207587</v>
      </c>
      <c r="T95" s="23">
        <f>IFERROR(_xlfn.XLOOKUP(A95, 'Nifty 50 Historical Data'!A:A, 'Nifty 50 Historical Data'!G:G), "")</f>
        <v>-1.83</v>
      </c>
      <c r="W95" t="str">
        <f t="shared" si="70"/>
        <v>Aligned Flow</v>
      </c>
      <c r="Y95">
        <f t="shared" si="71"/>
        <v>20</v>
      </c>
    </row>
    <row r="96" spans="1:25">
      <c r="A96" s="24">
        <v>46155</v>
      </c>
      <c r="B96" s="23">
        <f>SUMIFS(FII_DII_raw_synthetic_Jan_Jun2026[Net_Flow_Cr], FII_DII_raw_synthetic_Jan_Jun2026[Date], A96, FII_DII_raw_synthetic_Jan_Jun2026[Entity_Type], "FII")</f>
        <v>-1064.94</v>
      </c>
      <c r="C96" s="23">
        <f>SUMIFS(FII_DII_raw_synthetic_Jan_Jun2026[Net_Flow_Cr], FII_DII_raw_synthetic_Jan_Jun2026[Date], A96, FII_DII_raw_synthetic_Jan_Jun2026[Entity_Type], "DII")</f>
        <v>3566.46</v>
      </c>
      <c r="D96" s="23">
        <f t="shared" ref="D96:E96" si="100">AVERAGE(B92:B96)</f>
        <v>-63.907999999999994</v>
      </c>
      <c r="E96" s="23">
        <f t="shared" si="100"/>
        <v>708.43199999999979</v>
      </c>
      <c r="F96" s="23">
        <f t="shared" si="68"/>
        <v>-2501.52</v>
      </c>
      <c r="G96" s="23">
        <f>SUMIFS(FII_DII_raw_synthetic_Jan_Jun2026[Net_Flow_Cr], FII_DII_raw_synthetic_Jan_Jun2026[Date], $A96, FII_DII_raw_synthetic_Jan_Jun2026[Entity_Type], "FII", FII_DII_raw_synthetic_Jan_Jun2026[Sector], G$1)</f>
        <v>1286.33</v>
      </c>
      <c r="H96" s="23">
        <f>SUMIFS(FII_DII_raw_synthetic_Jan_Jun2026[Net_Flow_Cr], FII_DII_raw_synthetic_Jan_Jun2026[Date], $A96, FII_DII_raw_synthetic_Jan_Jun2026[Entity_Type], "FII", FII_DII_raw_synthetic_Jan_Jun2026[Sector], H$1)</f>
        <v>0</v>
      </c>
      <c r="I96" s="23">
        <f>SUMIFS(FII_DII_raw_synthetic_Jan_Jun2026[Net_Flow_Cr], FII_DII_raw_synthetic_Jan_Jun2026[Date], $A96, FII_DII_raw_synthetic_Jan_Jun2026[Entity_Type], "FII", FII_DII_raw_synthetic_Jan_Jun2026[Sector], I$1)</f>
        <v>-462.45</v>
      </c>
      <c r="J96" s="23">
        <f>SUMIFS(FII_DII_raw_synthetic_Jan_Jun2026[Net_Flow_Cr], FII_DII_raw_synthetic_Jan_Jun2026[Date], $A96, FII_DII_raw_synthetic_Jan_Jun2026[Entity_Type], "FII", FII_DII_raw_synthetic_Jan_Jun2026[Sector], J$1)</f>
        <v>0</v>
      </c>
      <c r="K96" s="23">
        <f>SUMIFS(FII_DII_raw_synthetic_Jan_Jun2026[Net_Flow_Cr], FII_DII_raw_synthetic_Jan_Jun2026[Date], $A96, FII_DII_raw_synthetic_Jan_Jun2026[Entity_Type], "FII", FII_DII_raw_synthetic_Jan_Jun2026[Sector], K$1)</f>
        <v>0</v>
      </c>
      <c r="L96" s="23">
        <f>SUMIFS(FII_DII_raw_synthetic_Jan_Jun2026[Net_Flow_Cr], FII_DII_raw_synthetic_Jan_Jun2026[Date], $A96, FII_DII_raw_synthetic_Jan_Jun2026[Entity_Type], "FII", FII_DII_raw_synthetic_Jan_Jun2026[Sector], L$1)</f>
        <v>0</v>
      </c>
      <c r="M96" s="23">
        <f>SUMIFS(FII_DII_raw_synthetic_Jan_Jun2026[Net_Flow_Cr], FII_DII_raw_synthetic_Jan_Jun2026[Date], $A96, FII_DII_raw_synthetic_Jan_Jun2026[Entity_Type], "FII", FII_DII_raw_synthetic_Jan_Jun2026[Sector], M$1)</f>
        <v>-809.18</v>
      </c>
      <c r="N96" s="23">
        <f>SUMIFS(FII_DII_raw_synthetic_Jan_Jun2026[Net_Flow_Cr], FII_DII_raw_synthetic_Jan_Jun2026[Date], $A96, FII_DII_raw_synthetic_Jan_Jun2026[Entity_Type], "FII", FII_DII_raw_synthetic_Jan_Jun2026[Sector], N$1)</f>
        <v>0</v>
      </c>
      <c r="O96" s="23">
        <f>SUMIFS(FII_DII_raw_synthetic_Jan_Jun2026[Net_Flow_Cr], FII_DII_raw_synthetic_Jan_Jun2026[Date], $A96, FII_DII_raw_synthetic_Jan_Jun2026[Entity_Type], "FII", FII_DII_raw_synthetic_Jan_Jun2026[Sector], O$1)</f>
        <v>-1079.6400000000001</v>
      </c>
      <c r="P96" s="23">
        <f>SUMIFS(FII_DII_raw_synthetic_Jan_Jun2026[Net_Flow_Cr], FII_DII_raw_synthetic_Jan_Jun2026[Date], $A96, FII_DII_raw_synthetic_Jan_Jun2026[Entity_Type], "FII", FII_DII_raw_synthetic_Jan_Jun2026[Sector], P$1)</f>
        <v>0</v>
      </c>
      <c r="Q96" s="23" cm="1">
        <f t="array" ref="Q96">SUMPRODUCT(ABS(G96:P96))</f>
        <v>3637.6000000000004</v>
      </c>
      <c r="R96" s="23" cm="1">
        <f t="array" ref="R96">LARGE(ABS(G96:P96),1)+LARGE(ABS(G96:P96),2)</f>
        <v>2365.9700000000003</v>
      </c>
      <c r="S96" s="25">
        <f t="shared" si="69"/>
        <v>0.65042060699362214</v>
      </c>
      <c r="T96" s="23">
        <f>IFERROR(_xlfn.XLOOKUP(A96, 'Nifty 50 Historical Data'!A:A, 'Nifty 50 Historical Data'!G:G), "")</f>
        <v>0.14000000000000001</v>
      </c>
      <c r="W96" t="str">
        <f t="shared" si="70"/>
        <v>Divergent Flow</v>
      </c>
      <c r="Y96">
        <f t="shared" si="71"/>
        <v>20</v>
      </c>
    </row>
    <row r="97" spans="1:25">
      <c r="A97" s="24">
        <v>46156</v>
      </c>
      <c r="B97" s="23">
        <f>SUMIFS(FII_DII_raw_synthetic_Jan_Jun2026[Net_Flow_Cr], FII_DII_raw_synthetic_Jan_Jun2026[Date], A97, FII_DII_raw_synthetic_Jan_Jun2026[Entity_Type], "FII")</f>
        <v>1217.57</v>
      </c>
      <c r="C97" s="23">
        <f>SUMIFS(FII_DII_raw_synthetic_Jan_Jun2026[Net_Flow_Cr], FII_DII_raw_synthetic_Jan_Jun2026[Date], A97, FII_DII_raw_synthetic_Jan_Jun2026[Entity_Type], "DII")</f>
        <v>1503.52</v>
      </c>
      <c r="D97" s="23">
        <f t="shared" ref="D97:E97" si="101">AVERAGE(B93:B97)</f>
        <v>22.609999999999992</v>
      </c>
      <c r="E97" s="23">
        <f t="shared" si="101"/>
        <v>578.42399999999986</v>
      </c>
      <c r="F97" s="23">
        <f t="shared" si="68"/>
        <v>-285.95000000000005</v>
      </c>
      <c r="G97" s="23">
        <f>SUMIFS(FII_DII_raw_synthetic_Jan_Jun2026[Net_Flow_Cr], FII_DII_raw_synthetic_Jan_Jun2026[Date], $A97, FII_DII_raw_synthetic_Jan_Jun2026[Entity_Type], "FII", FII_DII_raw_synthetic_Jan_Jun2026[Sector], G$1)</f>
        <v>141.06</v>
      </c>
      <c r="H97" s="23">
        <f>SUMIFS(FII_DII_raw_synthetic_Jan_Jun2026[Net_Flow_Cr], FII_DII_raw_synthetic_Jan_Jun2026[Date], $A97, FII_DII_raw_synthetic_Jan_Jun2026[Entity_Type], "FII", FII_DII_raw_synthetic_Jan_Jun2026[Sector], H$1)</f>
        <v>585.44000000000005</v>
      </c>
      <c r="I97" s="23">
        <f>SUMIFS(FII_DII_raw_synthetic_Jan_Jun2026[Net_Flow_Cr], FII_DII_raw_synthetic_Jan_Jun2026[Date], $A97, FII_DII_raw_synthetic_Jan_Jun2026[Entity_Type], "FII", FII_DII_raw_synthetic_Jan_Jun2026[Sector], I$1)</f>
        <v>0</v>
      </c>
      <c r="J97" s="23">
        <f>SUMIFS(FII_DII_raw_synthetic_Jan_Jun2026[Net_Flow_Cr], FII_DII_raw_synthetic_Jan_Jun2026[Date], $A97, FII_DII_raw_synthetic_Jan_Jun2026[Entity_Type], "FII", FII_DII_raw_synthetic_Jan_Jun2026[Sector], J$1)</f>
        <v>0</v>
      </c>
      <c r="K97" s="23">
        <f>SUMIFS(FII_DII_raw_synthetic_Jan_Jun2026[Net_Flow_Cr], FII_DII_raw_synthetic_Jan_Jun2026[Date], $A97, FII_DII_raw_synthetic_Jan_Jun2026[Entity_Type], "FII", FII_DII_raw_synthetic_Jan_Jun2026[Sector], K$1)</f>
        <v>0</v>
      </c>
      <c r="L97" s="23">
        <f>SUMIFS(FII_DII_raw_synthetic_Jan_Jun2026[Net_Flow_Cr], FII_DII_raw_synthetic_Jan_Jun2026[Date], $A97, FII_DII_raw_synthetic_Jan_Jun2026[Entity_Type], "FII", FII_DII_raw_synthetic_Jan_Jun2026[Sector], L$1)</f>
        <v>0</v>
      </c>
      <c r="M97" s="23">
        <f>SUMIFS(FII_DII_raw_synthetic_Jan_Jun2026[Net_Flow_Cr], FII_DII_raw_synthetic_Jan_Jun2026[Date], $A97, FII_DII_raw_synthetic_Jan_Jun2026[Entity_Type], "FII", FII_DII_raw_synthetic_Jan_Jun2026[Sector], M$1)</f>
        <v>0</v>
      </c>
      <c r="N97" s="23">
        <f>SUMIFS(FII_DII_raw_synthetic_Jan_Jun2026[Net_Flow_Cr], FII_DII_raw_synthetic_Jan_Jun2026[Date], $A97, FII_DII_raw_synthetic_Jan_Jun2026[Entity_Type], "FII", FII_DII_raw_synthetic_Jan_Jun2026[Sector], N$1)</f>
        <v>491.07</v>
      </c>
      <c r="O97" s="23">
        <f>SUMIFS(FII_DII_raw_synthetic_Jan_Jun2026[Net_Flow_Cr], FII_DII_raw_synthetic_Jan_Jun2026[Date], $A97, FII_DII_raw_synthetic_Jan_Jun2026[Entity_Type], "FII", FII_DII_raw_synthetic_Jan_Jun2026[Sector], O$1)</f>
        <v>0</v>
      </c>
      <c r="P97" s="23">
        <f>SUMIFS(FII_DII_raw_synthetic_Jan_Jun2026[Net_Flow_Cr], FII_DII_raw_synthetic_Jan_Jun2026[Date], $A97, FII_DII_raw_synthetic_Jan_Jun2026[Entity_Type], "FII", FII_DII_raw_synthetic_Jan_Jun2026[Sector], P$1)</f>
        <v>0</v>
      </c>
      <c r="Q97" s="23" cm="1">
        <f t="array" ref="Q97">SUMPRODUCT(ABS(G97:P97))</f>
        <v>1217.57</v>
      </c>
      <c r="R97" s="23" cm="1">
        <f t="array" ref="R97">LARGE(ABS(G97:P97),1)+LARGE(ABS(G97:P97),2)</f>
        <v>1076.51</v>
      </c>
      <c r="S97" s="25">
        <f t="shared" si="69"/>
        <v>0.88414629138365763</v>
      </c>
      <c r="T97" s="23">
        <f>IFERROR(_xlfn.XLOOKUP(A97, 'Nifty 50 Historical Data'!A:A, 'Nifty 50 Historical Data'!G:G), "")</f>
        <v>1.18</v>
      </c>
      <c r="W97" t="str">
        <f t="shared" si="70"/>
        <v>Aligned Flow</v>
      </c>
      <c r="Y97">
        <f t="shared" si="71"/>
        <v>20</v>
      </c>
    </row>
    <row r="98" spans="1:25">
      <c r="A98" s="24">
        <v>46157</v>
      </c>
      <c r="B98" s="23">
        <f>SUMIFS(FII_DII_raw_synthetic_Jan_Jun2026[Net_Flow_Cr], FII_DII_raw_synthetic_Jan_Jun2026[Date], A98, FII_DII_raw_synthetic_Jan_Jun2026[Entity_Type], "FII")</f>
        <v>1139.5700000000002</v>
      </c>
      <c r="C98" s="23">
        <f>SUMIFS(FII_DII_raw_synthetic_Jan_Jun2026[Net_Flow_Cr], FII_DII_raw_synthetic_Jan_Jun2026[Date], A98, FII_DII_raw_synthetic_Jan_Jun2026[Entity_Type], "DII")</f>
        <v>2120.5500000000002</v>
      </c>
      <c r="D98" s="23">
        <f t="shared" ref="D98:E98" si="102">AVERAGE(B94:B98)</f>
        <v>537.65600000000006</v>
      </c>
      <c r="E98" s="23">
        <f t="shared" si="102"/>
        <v>1331.3639999999998</v>
      </c>
      <c r="F98" s="23">
        <f t="shared" si="68"/>
        <v>-980.98</v>
      </c>
      <c r="G98" s="23">
        <f>SUMIFS(FII_DII_raw_synthetic_Jan_Jun2026[Net_Flow_Cr], FII_DII_raw_synthetic_Jan_Jun2026[Date], $A98, FII_DII_raw_synthetic_Jan_Jun2026[Entity_Type], "FII", FII_DII_raw_synthetic_Jan_Jun2026[Sector], G$1)</f>
        <v>-201.31</v>
      </c>
      <c r="H98" s="23">
        <f>SUMIFS(FII_DII_raw_synthetic_Jan_Jun2026[Net_Flow_Cr], FII_DII_raw_synthetic_Jan_Jun2026[Date], $A98, FII_DII_raw_synthetic_Jan_Jun2026[Entity_Type], "FII", FII_DII_raw_synthetic_Jan_Jun2026[Sector], H$1)</f>
        <v>-222.97</v>
      </c>
      <c r="I98" s="23">
        <f>SUMIFS(FII_DII_raw_synthetic_Jan_Jun2026[Net_Flow_Cr], FII_DII_raw_synthetic_Jan_Jun2026[Date], $A98, FII_DII_raw_synthetic_Jan_Jun2026[Entity_Type], "FII", FII_DII_raw_synthetic_Jan_Jun2026[Sector], I$1)</f>
        <v>0</v>
      </c>
      <c r="J98" s="23">
        <f>SUMIFS(FII_DII_raw_synthetic_Jan_Jun2026[Net_Flow_Cr], FII_DII_raw_synthetic_Jan_Jun2026[Date], $A98, FII_DII_raw_synthetic_Jan_Jun2026[Entity_Type], "FII", FII_DII_raw_synthetic_Jan_Jun2026[Sector], J$1)</f>
        <v>0</v>
      </c>
      <c r="K98" s="23">
        <f>SUMIFS(FII_DII_raw_synthetic_Jan_Jun2026[Net_Flow_Cr], FII_DII_raw_synthetic_Jan_Jun2026[Date], $A98, FII_DII_raw_synthetic_Jan_Jun2026[Entity_Type], "FII", FII_DII_raw_synthetic_Jan_Jun2026[Sector], K$1)</f>
        <v>0</v>
      </c>
      <c r="L98" s="23">
        <f>SUMIFS(FII_DII_raw_synthetic_Jan_Jun2026[Net_Flow_Cr], FII_DII_raw_synthetic_Jan_Jun2026[Date], $A98, FII_DII_raw_synthetic_Jan_Jun2026[Entity_Type], "FII", FII_DII_raw_synthetic_Jan_Jun2026[Sector], L$1)</f>
        <v>841.52</v>
      </c>
      <c r="M98" s="23">
        <f>SUMIFS(FII_DII_raw_synthetic_Jan_Jun2026[Net_Flow_Cr], FII_DII_raw_synthetic_Jan_Jun2026[Date], $A98, FII_DII_raw_synthetic_Jan_Jun2026[Entity_Type], "FII", FII_DII_raw_synthetic_Jan_Jun2026[Sector], M$1)</f>
        <v>0</v>
      </c>
      <c r="N98" s="23">
        <f>SUMIFS(FII_DII_raw_synthetic_Jan_Jun2026[Net_Flow_Cr], FII_DII_raw_synthetic_Jan_Jun2026[Date], $A98, FII_DII_raw_synthetic_Jan_Jun2026[Entity_Type], "FII", FII_DII_raw_synthetic_Jan_Jun2026[Sector], N$1)</f>
        <v>0</v>
      </c>
      <c r="O98" s="23">
        <f>SUMIFS(FII_DII_raw_synthetic_Jan_Jun2026[Net_Flow_Cr], FII_DII_raw_synthetic_Jan_Jun2026[Date], $A98, FII_DII_raw_synthetic_Jan_Jun2026[Entity_Type], "FII", FII_DII_raw_synthetic_Jan_Jun2026[Sector], O$1)</f>
        <v>722.33</v>
      </c>
      <c r="P98" s="23">
        <f>SUMIFS(FII_DII_raw_synthetic_Jan_Jun2026[Net_Flow_Cr], FII_DII_raw_synthetic_Jan_Jun2026[Date], $A98, FII_DII_raw_synthetic_Jan_Jun2026[Entity_Type], "FII", FII_DII_raw_synthetic_Jan_Jun2026[Sector], P$1)</f>
        <v>0</v>
      </c>
      <c r="Q98" s="23" cm="1">
        <f t="array" ref="Q98">SUMPRODUCT(ABS(G98:P98))</f>
        <v>1988.13</v>
      </c>
      <c r="R98" s="23" cm="1">
        <f t="array" ref="R98">LARGE(ABS(G98:P98),1)+LARGE(ABS(G98:P98),2)</f>
        <v>1563.85</v>
      </c>
      <c r="S98" s="25">
        <f t="shared" si="69"/>
        <v>0.78659343201903287</v>
      </c>
      <c r="T98" s="23">
        <f>IFERROR(_xlfn.XLOOKUP(A98, 'Nifty 50 Historical Data'!A:A, 'Nifty 50 Historical Data'!G:G), "")</f>
        <v>-0.19</v>
      </c>
      <c r="W98" t="str">
        <f t="shared" si="70"/>
        <v>Aligned Flow</v>
      </c>
      <c r="Y98">
        <f t="shared" si="71"/>
        <v>20</v>
      </c>
    </row>
    <row r="99" spans="1:25">
      <c r="A99" s="24">
        <v>46160</v>
      </c>
      <c r="B99" s="23">
        <f>SUMIFS(FII_DII_raw_synthetic_Jan_Jun2026[Net_Flow_Cr], FII_DII_raw_synthetic_Jan_Jun2026[Date], A99, FII_DII_raw_synthetic_Jan_Jun2026[Entity_Type], "FII")</f>
        <v>3269.83</v>
      </c>
      <c r="C99" s="23">
        <f>SUMIFS(FII_DII_raw_synthetic_Jan_Jun2026[Net_Flow_Cr], FII_DII_raw_synthetic_Jan_Jun2026[Date], A99, FII_DII_raw_synthetic_Jan_Jun2026[Entity_Type], "DII")</f>
        <v>450.53</v>
      </c>
      <c r="D99" s="23">
        <f t="shared" ref="D99:E99" si="103">AVERAGE(B95:B99)</f>
        <v>1145.576</v>
      </c>
      <c r="E99" s="23">
        <f t="shared" si="103"/>
        <v>1769.0100000000002</v>
      </c>
      <c r="F99" s="23">
        <f t="shared" si="68"/>
        <v>2819.3</v>
      </c>
      <c r="G99" s="23">
        <f>SUMIFS(FII_DII_raw_synthetic_Jan_Jun2026[Net_Flow_Cr], FII_DII_raw_synthetic_Jan_Jun2026[Date], $A99, FII_DII_raw_synthetic_Jan_Jun2026[Entity_Type], "FII", FII_DII_raw_synthetic_Jan_Jun2026[Sector], G$1)</f>
        <v>1099.8399999999999</v>
      </c>
      <c r="H99" s="23">
        <f>SUMIFS(FII_DII_raw_synthetic_Jan_Jun2026[Net_Flow_Cr], FII_DII_raw_synthetic_Jan_Jun2026[Date], $A99, FII_DII_raw_synthetic_Jan_Jun2026[Entity_Type], "FII", FII_DII_raw_synthetic_Jan_Jun2026[Sector], H$1)</f>
        <v>1930.46</v>
      </c>
      <c r="I99" s="23">
        <f>SUMIFS(FII_DII_raw_synthetic_Jan_Jun2026[Net_Flow_Cr], FII_DII_raw_synthetic_Jan_Jun2026[Date], $A99, FII_DII_raw_synthetic_Jan_Jun2026[Entity_Type], "FII", FII_DII_raw_synthetic_Jan_Jun2026[Sector], I$1)</f>
        <v>76.650000000000006</v>
      </c>
      <c r="J99" s="23">
        <f>SUMIFS(FII_DII_raw_synthetic_Jan_Jun2026[Net_Flow_Cr], FII_DII_raw_synthetic_Jan_Jun2026[Date], $A99, FII_DII_raw_synthetic_Jan_Jun2026[Entity_Type], "FII", FII_DII_raw_synthetic_Jan_Jun2026[Sector], J$1)</f>
        <v>0</v>
      </c>
      <c r="K99" s="23">
        <f>SUMIFS(FII_DII_raw_synthetic_Jan_Jun2026[Net_Flow_Cr], FII_DII_raw_synthetic_Jan_Jun2026[Date], $A99, FII_DII_raw_synthetic_Jan_Jun2026[Entity_Type], "FII", FII_DII_raw_synthetic_Jan_Jun2026[Sector], K$1)</f>
        <v>0</v>
      </c>
      <c r="L99" s="23">
        <f>SUMIFS(FII_DII_raw_synthetic_Jan_Jun2026[Net_Flow_Cr], FII_DII_raw_synthetic_Jan_Jun2026[Date], $A99, FII_DII_raw_synthetic_Jan_Jun2026[Entity_Type], "FII", FII_DII_raw_synthetic_Jan_Jun2026[Sector], L$1)</f>
        <v>0</v>
      </c>
      <c r="M99" s="23">
        <f>SUMIFS(FII_DII_raw_synthetic_Jan_Jun2026[Net_Flow_Cr], FII_DII_raw_synthetic_Jan_Jun2026[Date], $A99, FII_DII_raw_synthetic_Jan_Jun2026[Entity_Type], "FII", FII_DII_raw_synthetic_Jan_Jun2026[Sector], M$1)</f>
        <v>162.88</v>
      </c>
      <c r="N99" s="23">
        <f>SUMIFS(FII_DII_raw_synthetic_Jan_Jun2026[Net_Flow_Cr], FII_DII_raw_synthetic_Jan_Jun2026[Date], $A99, FII_DII_raw_synthetic_Jan_Jun2026[Entity_Type], "FII", FII_DII_raw_synthetic_Jan_Jun2026[Sector], N$1)</f>
        <v>0</v>
      </c>
      <c r="O99" s="23">
        <f>SUMIFS(FII_DII_raw_synthetic_Jan_Jun2026[Net_Flow_Cr], FII_DII_raw_synthetic_Jan_Jun2026[Date], $A99, FII_DII_raw_synthetic_Jan_Jun2026[Entity_Type], "FII", FII_DII_raw_synthetic_Jan_Jun2026[Sector], O$1)</f>
        <v>0</v>
      </c>
      <c r="P99" s="23">
        <f>SUMIFS(FII_DII_raw_synthetic_Jan_Jun2026[Net_Flow_Cr], FII_DII_raw_synthetic_Jan_Jun2026[Date], $A99, FII_DII_raw_synthetic_Jan_Jun2026[Entity_Type], "FII", FII_DII_raw_synthetic_Jan_Jun2026[Sector], P$1)</f>
        <v>0</v>
      </c>
      <c r="Q99" s="23" cm="1">
        <f t="array" ref="Q99">SUMPRODUCT(ABS(G99:P99))</f>
        <v>3269.8300000000004</v>
      </c>
      <c r="R99" s="23" cm="1">
        <f t="array" ref="R99">LARGE(ABS(G99:P99),1)+LARGE(ABS(G99:P99),2)</f>
        <v>3030.3</v>
      </c>
      <c r="S99" s="25">
        <f t="shared" si="69"/>
        <v>0.92674542713229735</v>
      </c>
      <c r="T99" s="23">
        <f>IFERROR(_xlfn.XLOOKUP(A99, 'Nifty 50 Historical Data'!A:A, 'Nifty 50 Historical Data'!G:G), "")</f>
        <v>0.03</v>
      </c>
      <c r="W99" t="str">
        <f t="shared" si="70"/>
        <v>Strong FII Buying</v>
      </c>
      <c r="Y99">
        <f t="shared" si="71"/>
        <v>21</v>
      </c>
    </row>
    <row r="100" spans="1:25">
      <c r="A100" s="24">
        <v>46161</v>
      </c>
      <c r="B100" s="23">
        <f>SUMIFS(FII_DII_raw_synthetic_Jan_Jun2026[Net_Flow_Cr], FII_DII_raw_synthetic_Jan_Jun2026[Date], A100, FII_DII_raw_synthetic_Jan_Jun2026[Entity_Type], "FII")</f>
        <v>-1603.27</v>
      </c>
      <c r="C100" s="23">
        <f>SUMIFS(FII_DII_raw_synthetic_Jan_Jun2026[Net_Flow_Cr], FII_DII_raw_synthetic_Jan_Jun2026[Date], A100, FII_DII_raw_synthetic_Jan_Jun2026[Entity_Type], "DII")</f>
        <v>1094.29</v>
      </c>
      <c r="D100" s="23">
        <f t="shared" ref="D100:E100" si="104">AVERAGE(B96:B100)</f>
        <v>591.75199999999995</v>
      </c>
      <c r="E100" s="23">
        <f t="shared" si="104"/>
        <v>1747.0699999999997</v>
      </c>
      <c r="F100" s="23">
        <f t="shared" si="68"/>
        <v>508.98</v>
      </c>
      <c r="G100" s="23">
        <f>SUMIFS(FII_DII_raw_synthetic_Jan_Jun2026[Net_Flow_Cr], FII_DII_raw_synthetic_Jan_Jun2026[Date], $A100, FII_DII_raw_synthetic_Jan_Jun2026[Entity_Type], "FII", FII_DII_raw_synthetic_Jan_Jun2026[Sector], G$1)</f>
        <v>0</v>
      </c>
      <c r="H100" s="23">
        <f>SUMIFS(FII_DII_raw_synthetic_Jan_Jun2026[Net_Flow_Cr], FII_DII_raw_synthetic_Jan_Jun2026[Date], $A100, FII_DII_raw_synthetic_Jan_Jun2026[Entity_Type], "FII", FII_DII_raw_synthetic_Jan_Jun2026[Sector], H$1)</f>
        <v>0</v>
      </c>
      <c r="I100" s="23">
        <f>SUMIFS(FII_DII_raw_synthetic_Jan_Jun2026[Net_Flow_Cr], FII_DII_raw_synthetic_Jan_Jun2026[Date], $A100, FII_DII_raw_synthetic_Jan_Jun2026[Entity_Type], "FII", FII_DII_raw_synthetic_Jan_Jun2026[Sector], I$1)</f>
        <v>0</v>
      </c>
      <c r="J100" s="23">
        <f>SUMIFS(FII_DII_raw_synthetic_Jan_Jun2026[Net_Flow_Cr], FII_DII_raw_synthetic_Jan_Jun2026[Date], $A100, FII_DII_raw_synthetic_Jan_Jun2026[Entity_Type], "FII", FII_DII_raw_synthetic_Jan_Jun2026[Sector], J$1)</f>
        <v>0</v>
      </c>
      <c r="K100" s="23">
        <f>SUMIFS(FII_DII_raw_synthetic_Jan_Jun2026[Net_Flow_Cr], FII_DII_raw_synthetic_Jan_Jun2026[Date], $A100, FII_DII_raw_synthetic_Jan_Jun2026[Entity_Type], "FII", FII_DII_raw_synthetic_Jan_Jun2026[Sector], K$1)</f>
        <v>-690.46</v>
      </c>
      <c r="L100" s="23">
        <f>SUMIFS(FII_DII_raw_synthetic_Jan_Jun2026[Net_Flow_Cr], FII_DII_raw_synthetic_Jan_Jun2026[Date], $A100, FII_DII_raw_synthetic_Jan_Jun2026[Entity_Type], "FII", FII_DII_raw_synthetic_Jan_Jun2026[Sector], L$1)</f>
        <v>-80.39</v>
      </c>
      <c r="M100" s="23">
        <f>SUMIFS(FII_DII_raw_synthetic_Jan_Jun2026[Net_Flow_Cr], FII_DII_raw_synthetic_Jan_Jun2026[Date], $A100, FII_DII_raw_synthetic_Jan_Jun2026[Entity_Type], "FII", FII_DII_raw_synthetic_Jan_Jun2026[Sector], M$1)</f>
        <v>0</v>
      </c>
      <c r="N100" s="23">
        <f>SUMIFS(FII_DII_raw_synthetic_Jan_Jun2026[Net_Flow_Cr], FII_DII_raw_synthetic_Jan_Jun2026[Date], $A100, FII_DII_raw_synthetic_Jan_Jun2026[Entity_Type], "FII", FII_DII_raw_synthetic_Jan_Jun2026[Sector], N$1)</f>
        <v>-1072.49</v>
      </c>
      <c r="O100" s="23">
        <f>SUMIFS(FII_DII_raw_synthetic_Jan_Jun2026[Net_Flow_Cr], FII_DII_raw_synthetic_Jan_Jun2026[Date], $A100, FII_DII_raw_synthetic_Jan_Jun2026[Entity_Type], "FII", FII_DII_raw_synthetic_Jan_Jun2026[Sector], O$1)</f>
        <v>0</v>
      </c>
      <c r="P100" s="23">
        <f>SUMIFS(FII_DII_raw_synthetic_Jan_Jun2026[Net_Flow_Cr], FII_DII_raw_synthetic_Jan_Jun2026[Date], $A100, FII_DII_raw_synthetic_Jan_Jun2026[Entity_Type], "FII", FII_DII_raw_synthetic_Jan_Jun2026[Sector], P$1)</f>
        <v>240.07</v>
      </c>
      <c r="Q100" s="23" cm="1">
        <f t="array" ref="Q100">SUMPRODUCT(ABS(G100:P100))</f>
        <v>2083.4100000000003</v>
      </c>
      <c r="R100" s="23" cm="1">
        <f t="array" ref="R100">LARGE(ABS(G100:P100),1)+LARGE(ABS(G100:P100),2)</f>
        <v>1762.95</v>
      </c>
      <c r="S100" s="25">
        <f t="shared" si="69"/>
        <v>0.84618486039713725</v>
      </c>
      <c r="T100" s="23">
        <f>IFERROR(_xlfn.XLOOKUP(A100, 'Nifty 50 Historical Data'!A:A, 'Nifty 50 Historical Data'!G:G), "")</f>
        <v>-0.14000000000000001</v>
      </c>
      <c r="W100" t="str">
        <f t="shared" si="70"/>
        <v>Divergent Flow</v>
      </c>
      <c r="Y100">
        <f t="shared" si="71"/>
        <v>21</v>
      </c>
    </row>
    <row r="101" spans="1:25">
      <c r="A101" s="24">
        <v>46162</v>
      </c>
      <c r="B101" s="23">
        <f>SUMIFS(FII_DII_raw_synthetic_Jan_Jun2026[Net_Flow_Cr], FII_DII_raw_synthetic_Jan_Jun2026[Date], A101, FII_DII_raw_synthetic_Jan_Jun2026[Entity_Type], "FII")</f>
        <v>169.97000000000014</v>
      </c>
      <c r="C101" s="23">
        <f>SUMIFS(FII_DII_raw_synthetic_Jan_Jun2026[Net_Flow_Cr], FII_DII_raw_synthetic_Jan_Jun2026[Date], A101, FII_DII_raw_synthetic_Jan_Jun2026[Entity_Type], "DII")</f>
        <v>1012.65</v>
      </c>
      <c r="D101" s="23">
        <f t="shared" ref="D101:E101" si="105">AVERAGE(B97:B101)</f>
        <v>838.73400000000004</v>
      </c>
      <c r="E101" s="23">
        <f t="shared" si="105"/>
        <v>1236.308</v>
      </c>
      <c r="F101" s="23">
        <f t="shared" si="68"/>
        <v>-842.67999999999984</v>
      </c>
      <c r="G101" s="23">
        <f>SUMIFS(FII_DII_raw_synthetic_Jan_Jun2026[Net_Flow_Cr], FII_DII_raw_synthetic_Jan_Jun2026[Date], $A101, FII_DII_raw_synthetic_Jan_Jun2026[Entity_Type], "FII", FII_DII_raw_synthetic_Jan_Jun2026[Sector], G$1)</f>
        <v>0</v>
      </c>
      <c r="H101" s="23">
        <f>SUMIFS(FII_DII_raw_synthetic_Jan_Jun2026[Net_Flow_Cr], FII_DII_raw_synthetic_Jan_Jun2026[Date], $A101, FII_DII_raw_synthetic_Jan_Jun2026[Entity_Type], "FII", FII_DII_raw_synthetic_Jan_Jun2026[Sector], H$1)</f>
        <v>0</v>
      </c>
      <c r="I101" s="23">
        <f>SUMIFS(FII_DII_raw_synthetic_Jan_Jun2026[Net_Flow_Cr], FII_DII_raw_synthetic_Jan_Jun2026[Date], $A101, FII_DII_raw_synthetic_Jan_Jun2026[Entity_Type], "FII", FII_DII_raw_synthetic_Jan_Jun2026[Sector], I$1)</f>
        <v>0</v>
      </c>
      <c r="J101" s="23">
        <f>SUMIFS(FII_DII_raw_synthetic_Jan_Jun2026[Net_Flow_Cr], FII_DII_raw_synthetic_Jan_Jun2026[Date], $A101, FII_DII_raw_synthetic_Jan_Jun2026[Entity_Type], "FII", FII_DII_raw_synthetic_Jan_Jun2026[Sector], J$1)</f>
        <v>-1156.74</v>
      </c>
      <c r="K101" s="23">
        <f>SUMIFS(FII_DII_raw_synthetic_Jan_Jun2026[Net_Flow_Cr], FII_DII_raw_synthetic_Jan_Jun2026[Date], $A101, FII_DII_raw_synthetic_Jan_Jun2026[Entity_Type], "FII", FII_DII_raw_synthetic_Jan_Jun2026[Sector], K$1)</f>
        <v>660.84</v>
      </c>
      <c r="L101" s="23">
        <f>SUMIFS(FII_DII_raw_synthetic_Jan_Jun2026[Net_Flow_Cr], FII_DII_raw_synthetic_Jan_Jun2026[Date], $A101, FII_DII_raw_synthetic_Jan_Jun2026[Entity_Type], "FII", FII_DII_raw_synthetic_Jan_Jun2026[Sector], L$1)</f>
        <v>0</v>
      </c>
      <c r="M101" s="23">
        <f>SUMIFS(FII_DII_raw_synthetic_Jan_Jun2026[Net_Flow_Cr], FII_DII_raw_synthetic_Jan_Jun2026[Date], $A101, FII_DII_raw_synthetic_Jan_Jun2026[Entity_Type], "FII", FII_DII_raw_synthetic_Jan_Jun2026[Sector], M$1)</f>
        <v>0</v>
      </c>
      <c r="N101" s="23">
        <f>SUMIFS(FII_DII_raw_synthetic_Jan_Jun2026[Net_Flow_Cr], FII_DII_raw_synthetic_Jan_Jun2026[Date], $A101, FII_DII_raw_synthetic_Jan_Jun2026[Entity_Type], "FII", FII_DII_raw_synthetic_Jan_Jun2026[Sector], N$1)</f>
        <v>665.87000000000012</v>
      </c>
      <c r="O101" s="23">
        <f>SUMIFS(FII_DII_raw_synthetic_Jan_Jun2026[Net_Flow_Cr], FII_DII_raw_synthetic_Jan_Jun2026[Date], $A101, FII_DII_raw_synthetic_Jan_Jun2026[Entity_Type], "FII", FII_DII_raw_synthetic_Jan_Jun2026[Sector], O$1)</f>
        <v>0</v>
      </c>
      <c r="P101" s="23">
        <f>SUMIFS(FII_DII_raw_synthetic_Jan_Jun2026[Net_Flow_Cr], FII_DII_raw_synthetic_Jan_Jun2026[Date], $A101, FII_DII_raw_synthetic_Jan_Jun2026[Entity_Type], "FII", FII_DII_raw_synthetic_Jan_Jun2026[Sector], P$1)</f>
        <v>0</v>
      </c>
      <c r="Q101" s="23" cm="1">
        <f t="array" ref="Q101">SUMPRODUCT(ABS(G101:P101))</f>
        <v>2483.4499999999998</v>
      </c>
      <c r="R101" s="23" cm="1">
        <f t="array" ref="R101">LARGE(ABS(G101:P101),1)+LARGE(ABS(G101:P101),2)</f>
        <v>1822.6100000000001</v>
      </c>
      <c r="S101" s="25">
        <f t="shared" si="69"/>
        <v>0.73390243411383371</v>
      </c>
      <c r="T101" s="23">
        <f>IFERROR(_xlfn.XLOOKUP(A101, 'Nifty 50 Historical Data'!A:A, 'Nifty 50 Historical Data'!G:G), "")</f>
        <v>0.17</v>
      </c>
      <c r="W101" t="str">
        <f t="shared" si="70"/>
        <v>Aligned Flow</v>
      </c>
      <c r="Y101">
        <f t="shared" si="71"/>
        <v>21</v>
      </c>
    </row>
    <row r="102" spans="1:25">
      <c r="A102" s="24">
        <v>46163</v>
      </c>
      <c r="B102" s="23">
        <f>SUMIFS(FII_DII_raw_synthetic_Jan_Jun2026[Net_Flow_Cr], FII_DII_raw_synthetic_Jan_Jun2026[Date], A102, FII_DII_raw_synthetic_Jan_Jun2026[Entity_Type], "FII")</f>
        <v>-1840.14</v>
      </c>
      <c r="C102" s="23">
        <f>SUMIFS(FII_DII_raw_synthetic_Jan_Jun2026[Net_Flow_Cr], FII_DII_raw_synthetic_Jan_Jun2026[Date], A102, FII_DII_raw_synthetic_Jan_Jun2026[Entity_Type], "DII")</f>
        <v>-1274.8399999999997</v>
      </c>
      <c r="D102" s="23">
        <f t="shared" ref="D102:E102" si="106">AVERAGE(B98:B102)</f>
        <v>227.19199999999995</v>
      </c>
      <c r="E102" s="23">
        <f t="shared" si="106"/>
        <v>680.63599999999997</v>
      </c>
      <c r="F102" s="23">
        <f t="shared" si="68"/>
        <v>565.30000000000041</v>
      </c>
      <c r="G102" s="23">
        <f>SUMIFS(FII_DII_raw_synthetic_Jan_Jun2026[Net_Flow_Cr], FII_DII_raw_synthetic_Jan_Jun2026[Date], $A102, FII_DII_raw_synthetic_Jan_Jun2026[Entity_Type], "FII", FII_DII_raw_synthetic_Jan_Jun2026[Sector], G$1)</f>
        <v>-1183.42</v>
      </c>
      <c r="H102" s="23">
        <f>SUMIFS(FII_DII_raw_synthetic_Jan_Jun2026[Net_Flow_Cr], FII_DII_raw_synthetic_Jan_Jun2026[Date], $A102, FII_DII_raw_synthetic_Jan_Jun2026[Entity_Type], "FII", FII_DII_raw_synthetic_Jan_Jun2026[Sector], H$1)</f>
        <v>-170.28</v>
      </c>
      <c r="I102" s="23">
        <f>SUMIFS(FII_DII_raw_synthetic_Jan_Jun2026[Net_Flow_Cr], FII_DII_raw_synthetic_Jan_Jun2026[Date], $A102, FII_DII_raw_synthetic_Jan_Jun2026[Entity_Type], "FII", FII_DII_raw_synthetic_Jan_Jun2026[Sector], I$1)</f>
        <v>0</v>
      </c>
      <c r="J102" s="23">
        <f>SUMIFS(FII_DII_raw_synthetic_Jan_Jun2026[Net_Flow_Cr], FII_DII_raw_synthetic_Jan_Jun2026[Date], $A102, FII_DII_raw_synthetic_Jan_Jun2026[Entity_Type], "FII", FII_DII_raw_synthetic_Jan_Jun2026[Sector], J$1)</f>
        <v>0</v>
      </c>
      <c r="K102" s="23">
        <f>SUMIFS(FII_DII_raw_synthetic_Jan_Jun2026[Net_Flow_Cr], FII_DII_raw_synthetic_Jan_Jun2026[Date], $A102, FII_DII_raw_synthetic_Jan_Jun2026[Entity_Type], "FII", FII_DII_raw_synthetic_Jan_Jun2026[Sector], K$1)</f>
        <v>0</v>
      </c>
      <c r="L102" s="23">
        <f>SUMIFS(FII_DII_raw_synthetic_Jan_Jun2026[Net_Flow_Cr], FII_DII_raw_synthetic_Jan_Jun2026[Date], $A102, FII_DII_raw_synthetic_Jan_Jun2026[Entity_Type], "FII", FII_DII_raw_synthetic_Jan_Jun2026[Sector], L$1)</f>
        <v>0</v>
      </c>
      <c r="M102" s="23">
        <f>SUMIFS(FII_DII_raw_synthetic_Jan_Jun2026[Net_Flow_Cr], FII_DII_raw_synthetic_Jan_Jun2026[Date], $A102, FII_DII_raw_synthetic_Jan_Jun2026[Entity_Type], "FII", FII_DII_raw_synthetic_Jan_Jun2026[Sector], M$1)</f>
        <v>0</v>
      </c>
      <c r="N102" s="23">
        <f>SUMIFS(FII_DII_raw_synthetic_Jan_Jun2026[Net_Flow_Cr], FII_DII_raw_synthetic_Jan_Jun2026[Date], $A102, FII_DII_raw_synthetic_Jan_Jun2026[Entity_Type], "FII", FII_DII_raw_synthetic_Jan_Jun2026[Sector], N$1)</f>
        <v>0</v>
      </c>
      <c r="O102" s="23">
        <f>SUMIFS(FII_DII_raw_synthetic_Jan_Jun2026[Net_Flow_Cr], FII_DII_raw_synthetic_Jan_Jun2026[Date], $A102, FII_DII_raw_synthetic_Jan_Jun2026[Entity_Type], "FII", FII_DII_raw_synthetic_Jan_Jun2026[Sector], O$1)</f>
        <v>0</v>
      </c>
      <c r="P102" s="23">
        <f>SUMIFS(FII_DII_raw_synthetic_Jan_Jun2026[Net_Flow_Cr], FII_DII_raw_synthetic_Jan_Jun2026[Date], $A102, FII_DII_raw_synthetic_Jan_Jun2026[Entity_Type], "FII", FII_DII_raw_synthetic_Jan_Jun2026[Sector], P$1)</f>
        <v>-486.44</v>
      </c>
      <c r="Q102" s="23" cm="1">
        <f t="array" ref="Q102">SUMPRODUCT(ABS(G102:P102))</f>
        <v>1840.14</v>
      </c>
      <c r="R102" s="23" cm="1">
        <f t="array" ref="R102">LARGE(ABS(G102:P102),1)+LARGE(ABS(G102:P102),2)</f>
        <v>1669.8600000000001</v>
      </c>
      <c r="S102" s="25">
        <f t="shared" si="69"/>
        <v>0.90746356255502303</v>
      </c>
      <c r="T102" s="23">
        <f>IFERROR(_xlfn.XLOOKUP(A102, 'Nifty 50 Historical Data'!A:A, 'Nifty 50 Historical Data'!G:G), "")</f>
        <v>-0.02</v>
      </c>
      <c r="W102" t="str">
        <f t="shared" si="70"/>
        <v>Aligned Flow</v>
      </c>
      <c r="Y102">
        <f t="shared" si="71"/>
        <v>21</v>
      </c>
    </row>
    <row r="103" spans="1:25">
      <c r="A103" s="24">
        <v>46164</v>
      </c>
      <c r="B103" s="23">
        <f>SUMIFS(FII_DII_raw_synthetic_Jan_Jun2026[Net_Flow_Cr], FII_DII_raw_synthetic_Jan_Jun2026[Date], A103, FII_DII_raw_synthetic_Jan_Jun2026[Entity_Type], "FII")</f>
        <v>-1013.4000000000001</v>
      </c>
      <c r="C103" s="23">
        <f>SUMIFS(FII_DII_raw_synthetic_Jan_Jun2026[Net_Flow_Cr], FII_DII_raw_synthetic_Jan_Jun2026[Date], A103, FII_DII_raw_synthetic_Jan_Jun2026[Entity_Type], "DII")</f>
        <v>1480.31</v>
      </c>
      <c r="D103" s="23">
        <f t="shared" ref="D103:E103" si="107">AVERAGE(B99:B103)</f>
        <v>-203.40199999999999</v>
      </c>
      <c r="E103" s="23">
        <f t="shared" si="107"/>
        <v>552.58799999999997</v>
      </c>
      <c r="F103" s="23">
        <f t="shared" si="68"/>
        <v>-466.90999999999985</v>
      </c>
      <c r="G103" s="23">
        <f>SUMIFS(FII_DII_raw_synthetic_Jan_Jun2026[Net_Flow_Cr], FII_DII_raw_synthetic_Jan_Jun2026[Date], $A103, FII_DII_raw_synthetic_Jan_Jun2026[Entity_Type], "FII", FII_DII_raw_synthetic_Jan_Jun2026[Sector], G$1)</f>
        <v>0</v>
      </c>
      <c r="H103" s="23">
        <f>SUMIFS(FII_DII_raw_synthetic_Jan_Jun2026[Net_Flow_Cr], FII_DII_raw_synthetic_Jan_Jun2026[Date], $A103, FII_DII_raw_synthetic_Jan_Jun2026[Entity_Type], "FII", FII_DII_raw_synthetic_Jan_Jun2026[Sector], H$1)</f>
        <v>0</v>
      </c>
      <c r="I103" s="23">
        <f>SUMIFS(FII_DII_raw_synthetic_Jan_Jun2026[Net_Flow_Cr], FII_DII_raw_synthetic_Jan_Jun2026[Date], $A103, FII_DII_raw_synthetic_Jan_Jun2026[Entity_Type], "FII", FII_DII_raw_synthetic_Jan_Jun2026[Sector], I$1)</f>
        <v>0</v>
      </c>
      <c r="J103" s="23">
        <f>SUMIFS(FII_DII_raw_synthetic_Jan_Jun2026[Net_Flow_Cr], FII_DII_raw_synthetic_Jan_Jun2026[Date], $A103, FII_DII_raw_synthetic_Jan_Jun2026[Entity_Type], "FII", FII_DII_raw_synthetic_Jan_Jun2026[Sector], J$1)</f>
        <v>0</v>
      </c>
      <c r="K103" s="23">
        <f>SUMIFS(FII_DII_raw_synthetic_Jan_Jun2026[Net_Flow_Cr], FII_DII_raw_synthetic_Jan_Jun2026[Date], $A103, FII_DII_raw_synthetic_Jan_Jun2026[Entity_Type], "FII", FII_DII_raw_synthetic_Jan_Jun2026[Sector], K$1)</f>
        <v>0</v>
      </c>
      <c r="L103" s="23">
        <f>SUMIFS(FII_DII_raw_synthetic_Jan_Jun2026[Net_Flow_Cr], FII_DII_raw_synthetic_Jan_Jun2026[Date], $A103, FII_DII_raw_synthetic_Jan_Jun2026[Entity_Type], "FII", FII_DII_raw_synthetic_Jan_Jun2026[Sector], L$1)</f>
        <v>-67.599999999999994</v>
      </c>
      <c r="M103" s="23">
        <f>SUMIFS(FII_DII_raw_synthetic_Jan_Jun2026[Net_Flow_Cr], FII_DII_raw_synthetic_Jan_Jun2026[Date], $A103, FII_DII_raw_synthetic_Jan_Jun2026[Entity_Type], "FII", FII_DII_raw_synthetic_Jan_Jun2026[Sector], M$1)</f>
        <v>-591.96</v>
      </c>
      <c r="N103" s="23">
        <f>SUMIFS(FII_DII_raw_synthetic_Jan_Jun2026[Net_Flow_Cr], FII_DII_raw_synthetic_Jan_Jun2026[Date], $A103, FII_DII_raw_synthetic_Jan_Jun2026[Entity_Type], "FII", FII_DII_raw_synthetic_Jan_Jun2026[Sector], N$1)</f>
        <v>-265.62</v>
      </c>
      <c r="O103" s="23">
        <f>SUMIFS(FII_DII_raw_synthetic_Jan_Jun2026[Net_Flow_Cr], FII_DII_raw_synthetic_Jan_Jun2026[Date], $A103, FII_DII_raw_synthetic_Jan_Jun2026[Entity_Type], "FII", FII_DII_raw_synthetic_Jan_Jun2026[Sector], O$1)</f>
        <v>0</v>
      </c>
      <c r="P103" s="23">
        <f>SUMIFS(FII_DII_raw_synthetic_Jan_Jun2026[Net_Flow_Cr], FII_DII_raw_synthetic_Jan_Jun2026[Date], $A103, FII_DII_raw_synthetic_Jan_Jun2026[Entity_Type], "FII", FII_DII_raw_synthetic_Jan_Jun2026[Sector], P$1)</f>
        <v>-88.22</v>
      </c>
      <c r="Q103" s="23" cm="1">
        <f t="array" ref="Q103">SUMPRODUCT(ABS(G103:P103))</f>
        <v>1013.4000000000001</v>
      </c>
      <c r="R103" s="23" cm="1">
        <f t="array" ref="R103">LARGE(ABS(G103:P103),1)+LARGE(ABS(G103:P103),2)</f>
        <v>857.58</v>
      </c>
      <c r="S103" s="25">
        <f t="shared" si="69"/>
        <v>0.84624037892243931</v>
      </c>
      <c r="T103" s="23">
        <f>IFERROR(_xlfn.XLOOKUP(A103, 'Nifty 50 Historical Data'!A:A, 'Nifty 50 Historical Data'!G:G), "")</f>
        <v>0.27</v>
      </c>
      <c r="W103" t="str">
        <f t="shared" si="70"/>
        <v>Divergent Flow</v>
      </c>
      <c r="Y103">
        <f t="shared" si="71"/>
        <v>21</v>
      </c>
    </row>
    <row r="104" spans="1:25">
      <c r="A104" s="24">
        <v>46167</v>
      </c>
      <c r="B104" s="23">
        <f>SUMIFS(FII_DII_raw_synthetic_Jan_Jun2026[Net_Flow_Cr], FII_DII_raw_synthetic_Jan_Jun2026[Date], A104, FII_DII_raw_synthetic_Jan_Jun2026[Entity_Type], "FII")</f>
        <v>-751.5</v>
      </c>
      <c r="C104" s="23">
        <f>SUMIFS(FII_DII_raw_synthetic_Jan_Jun2026[Net_Flow_Cr], FII_DII_raw_synthetic_Jan_Jun2026[Date], A104, FII_DII_raw_synthetic_Jan_Jun2026[Entity_Type], "DII")</f>
        <v>-873.81</v>
      </c>
      <c r="D104" s="23">
        <f t="shared" ref="D104:E104" si="108">AVERAGE(B100:B104)</f>
        <v>-1007.668</v>
      </c>
      <c r="E104" s="23">
        <f t="shared" si="108"/>
        <v>287.72000000000008</v>
      </c>
      <c r="F104" s="23">
        <f t="shared" si="68"/>
        <v>-122.30999999999995</v>
      </c>
      <c r="G104" s="23">
        <f>SUMIFS(FII_DII_raw_synthetic_Jan_Jun2026[Net_Flow_Cr], FII_DII_raw_synthetic_Jan_Jun2026[Date], $A104, FII_DII_raw_synthetic_Jan_Jun2026[Entity_Type], "FII", FII_DII_raw_synthetic_Jan_Jun2026[Sector], G$1)</f>
        <v>0</v>
      </c>
      <c r="H104" s="23">
        <f>SUMIFS(FII_DII_raw_synthetic_Jan_Jun2026[Net_Flow_Cr], FII_DII_raw_synthetic_Jan_Jun2026[Date], $A104, FII_DII_raw_synthetic_Jan_Jun2026[Entity_Type], "FII", FII_DII_raw_synthetic_Jan_Jun2026[Sector], H$1)</f>
        <v>0</v>
      </c>
      <c r="I104" s="23">
        <f>SUMIFS(FII_DII_raw_synthetic_Jan_Jun2026[Net_Flow_Cr], FII_DII_raw_synthetic_Jan_Jun2026[Date], $A104, FII_DII_raw_synthetic_Jan_Jun2026[Entity_Type], "FII", FII_DII_raw_synthetic_Jan_Jun2026[Sector], I$1)</f>
        <v>0</v>
      </c>
      <c r="J104" s="23">
        <f>SUMIFS(FII_DII_raw_synthetic_Jan_Jun2026[Net_Flow_Cr], FII_DII_raw_synthetic_Jan_Jun2026[Date], $A104, FII_DII_raw_synthetic_Jan_Jun2026[Entity_Type], "FII", FII_DII_raw_synthetic_Jan_Jun2026[Sector], J$1)</f>
        <v>162.05000000000001</v>
      </c>
      <c r="K104" s="23">
        <f>SUMIFS(FII_DII_raw_synthetic_Jan_Jun2026[Net_Flow_Cr], FII_DII_raw_synthetic_Jan_Jun2026[Date], $A104, FII_DII_raw_synthetic_Jan_Jun2026[Entity_Type], "FII", FII_DII_raw_synthetic_Jan_Jun2026[Sector], K$1)</f>
        <v>0</v>
      </c>
      <c r="L104" s="23">
        <f>SUMIFS(FII_DII_raw_synthetic_Jan_Jun2026[Net_Flow_Cr], FII_DII_raw_synthetic_Jan_Jun2026[Date], $A104, FII_DII_raw_synthetic_Jan_Jun2026[Entity_Type], "FII", FII_DII_raw_synthetic_Jan_Jun2026[Sector], L$1)</f>
        <v>0</v>
      </c>
      <c r="M104" s="23">
        <f>SUMIFS(FII_DII_raw_synthetic_Jan_Jun2026[Net_Flow_Cr], FII_DII_raw_synthetic_Jan_Jun2026[Date], $A104, FII_DII_raw_synthetic_Jan_Jun2026[Entity_Type], "FII", FII_DII_raw_synthetic_Jan_Jun2026[Sector], M$1)</f>
        <v>-1324.42</v>
      </c>
      <c r="N104" s="23">
        <f>SUMIFS(FII_DII_raw_synthetic_Jan_Jun2026[Net_Flow_Cr], FII_DII_raw_synthetic_Jan_Jun2026[Date], $A104, FII_DII_raw_synthetic_Jan_Jun2026[Entity_Type], "FII", FII_DII_raw_synthetic_Jan_Jun2026[Sector], N$1)</f>
        <v>0</v>
      </c>
      <c r="O104" s="23">
        <f>SUMIFS(FII_DII_raw_synthetic_Jan_Jun2026[Net_Flow_Cr], FII_DII_raw_synthetic_Jan_Jun2026[Date], $A104, FII_DII_raw_synthetic_Jan_Jun2026[Entity_Type], "FII", FII_DII_raw_synthetic_Jan_Jun2026[Sector], O$1)</f>
        <v>0</v>
      </c>
      <c r="P104" s="23">
        <f>SUMIFS(FII_DII_raw_synthetic_Jan_Jun2026[Net_Flow_Cr], FII_DII_raw_synthetic_Jan_Jun2026[Date], $A104, FII_DII_raw_synthetic_Jan_Jun2026[Entity_Type], "FII", FII_DII_raw_synthetic_Jan_Jun2026[Sector], P$1)</f>
        <v>410.87</v>
      </c>
      <c r="Q104" s="23" cm="1">
        <f t="array" ref="Q104">SUMPRODUCT(ABS(G104:P104))</f>
        <v>1897.3400000000001</v>
      </c>
      <c r="R104" s="23" cm="1">
        <f t="array" ref="R104">LARGE(ABS(G104:P104),1)+LARGE(ABS(G104:P104),2)</f>
        <v>1735.29</v>
      </c>
      <c r="S104" s="25">
        <f t="shared" si="69"/>
        <v>0.9145909536509006</v>
      </c>
      <c r="T104" s="23">
        <f>IFERROR(_xlfn.XLOOKUP(A104, 'Nifty 50 Historical Data'!A:A, 'Nifty 50 Historical Data'!G:G), "")</f>
        <v>1.32</v>
      </c>
      <c r="W104" t="str">
        <f t="shared" si="70"/>
        <v>Aligned Flow</v>
      </c>
      <c r="Y104">
        <f t="shared" si="71"/>
        <v>22</v>
      </c>
    </row>
    <row r="105" spans="1:25">
      <c r="A105" s="24">
        <v>46168</v>
      </c>
      <c r="B105" s="23">
        <f>SUMIFS(FII_DII_raw_synthetic_Jan_Jun2026[Net_Flow_Cr], FII_DII_raw_synthetic_Jan_Jun2026[Date], A105, FII_DII_raw_synthetic_Jan_Jun2026[Entity_Type], "FII")</f>
        <v>130.54999999999995</v>
      </c>
      <c r="C105" s="23">
        <f>SUMIFS(FII_DII_raw_synthetic_Jan_Jun2026[Net_Flow_Cr], FII_DII_raw_synthetic_Jan_Jun2026[Date], A105, FII_DII_raw_synthetic_Jan_Jun2026[Entity_Type], "DII")</f>
        <v>-2212.1799999999998</v>
      </c>
      <c r="D105" s="23">
        <f t="shared" ref="D105:E105" si="109">AVERAGE(B101:B105)</f>
        <v>-660.90400000000011</v>
      </c>
      <c r="E105" s="23">
        <f t="shared" si="109"/>
        <v>-373.5739999999999</v>
      </c>
      <c r="F105" s="23">
        <f t="shared" si="68"/>
        <v>-2081.63</v>
      </c>
      <c r="G105" s="23">
        <f>SUMIFS(FII_DII_raw_synthetic_Jan_Jun2026[Net_Flow_Cr], FII_DII_raw_synthetic_Jan_Jun2026[Date], $A105, FII_DII_raw_synthetic_Jan_Jun2026[Entity_Type], "FII", FII_DII_raw_synthetic_Jan_Jun2026[Sector], G$1)</f>
        <v>-175.29999999999995</v>
      </c>
      <c r="H105" s="23">
        <f>SUMIFS(FII_DII_raw_synthetic_Jan_Jun2026[Net_Flow_Cr], FII_DII_raw_synthetic_Jan_Jun2026[Date], $A105, FII_DII_raw_synthetic_Jan_Jun2026[Entity_Type], "FII", FII_DII_raw_synthetic_Jan_Jun2026[Sector], H$1)</f>
        <v>0</v>
      </c>
      <c r="I105" s="23">
        <f>SUMIFS(FII_DII_raw_synthetic_Jan_Jun2026[Net_Flow_Cr], FII_DII_raw_synthetic_Jan_Jun2026[Date], $A105, FII_DII_raw_synthetic_Jan_Jun2026[Entity_Type], "FII", FII_DII_raw_synthetic_Jan_Jun2026[Sector], I$1)</f>
        <v>644.54999999999995</v>
      </c>
      <c r="J105" s="23">
        <f>SUMIFS(FII_DII_raw_synthetic_Jan_Jun2026[Net_Flow_Cr], FII_DII_raw_synthetic_Jan_Jun2026[Date], $A105, FII_DII_raw_synthetic_Jan_Jun2026[Entity_Type], "FII", FII_DII_raw_synthetic_Jan_Jun2026[Sector], J$1)</f>
        <v>0</v>
      </c>
      <c r="K105" s="23">
        <f>SUMIFS(FII_DII_raw_synthetic_Jan_Jun2026[Net_Flow_Cr], FII_DII_raw_synthetic_Jan_Jun2026[Date], $A105, FII_DII_raw_synthetic_Jan_Jun2026[Entity_Type], "FII", FII_DII_raw_synthetic_Jan_Jun2026[Sector], K$1)</f>
        <v>-338.7</v>
      </c>
      <c r="L105" s="23">
        <f>SUMIFS(FII_DII_raw_synthetic_Jan_Jun2026[Net_Flow_Cr], FII_DII_raw_synthetic_Jan_Jun2026[Date], $A105, FII_DII_raw_synthetic_Jan_Jun2026[Entity_Type], "FII", FII_DII_raw_synthetic_Jan_Jun2026[Sector], L$1)</f>
        <v>0</v>
      </c>
      <c r="M105" s="23">
        <f>SUMIFS(FII_DII_raw_synthetic_Jan_Jun2026[Net_Flow_Cr], FII_DII_raw_synthetic_Jan_Jun2026[Date], $A105, FII_DII_raw_synthetic_Jan_Jun2026[Entity_Type], "FII", FII_DII_raw_synthetic_Jan_Jun2026[Sector], M$1)</f>
        <v>0</v>
      </c>
      <c r="N105" s="23">
        <f>SUMIFS(FII_DII_raw_synthetic_Jan_Jun2026[Net_Flow_Cr], FII_DII_raw_synthetic_Jan_Jun2026[Date], $A105, FII_DII_raw_synthetic_Jan_Jun2026[Entity_Type], "FII", FII_DII_raw_synthetic_Jan_Jun2026[Sector], N$1)</f>
        <v>0</v>
      </c>
      <c r="O105" s="23">
        <f>SUMIFS(FII_DII_raw_synthetic_Jan_Jun2026[Net_Flow_Cr], FII_DII_raw_synthetic_Jan_Jun2026[Date], $A105, FII_DII_raw_synthetic_Jan_Jun2026[Entity_Type], "FII", FII_DII_raw_synthetic_Jan_Jun2026[Sector], O$1)</f>
        <v>0</v>
      </c>
      <c r="P105" s="23">
        <f>SUMIFS(FII_DII_raw_synthetic_Jan_Jun2026[Net_Flow_Cr], FII_DII_raw_synthetic_Jan_Jun2026[Date], $A105, FII_DII_raw_synthetic_Jan_Jun2026[Entity_Type], "FII", FII_DII_raw_synthetic_Jan_Jun2026[Sector], P$1)</f>
        <v>0</v>
      </c>
      <c r="Q105" s="23" cm="1">
        <f t="array" ref="Q105">SUMPRODUCT(ABS(G105:P105))</f>
        <v>1158.55</v>
      </c>
      <c r="R105" s="23" cm="1">
        <f t="array" ref="R105">LARGE(ABS(G105:P105),1)+LARGE(ABS(G105:P105),2)</f>
        <v>983.25</v>
      </c>
      <c r="S105" s="25">
        <f t="shared" si="69"/>
        <v>0.84869017306115402</v>
      </c>
      <c r="T105" s="23">
        <f>IFERROR(_xlfn.XLOOKUP(A105, 'Nifty 50 Historical Data'!A:A, 'Nifty 50 Historical Data'!G:G), "")</f>
        <v>-0.49</v>
      </c>
      <c r="W105" t="str">
        <f t="shared" si="70"/>
        <v>Divergent Flow</v>
      </c>
      <c r="Y105">
        <f t="shared" si="71"/>
        <v>22</v>
      </c>
    </row>
    <row r="106" spans="1:25">
      <c r="A106" s="24">
        <v>46169</v>
      </c>
      <c r="B106" s="23">
        <f>SUMIFS(FII_DII_raw_synthetic_Jan_Jun2026[Net_Flow_Cr], FII_DII_raw_synthetic_Jan_Jun2026[Date], A106, FII_DII_raw_synthetic_Jan_Jun2026[Entity_Type], "FII")</f>
        <v>-632.07999999999993</v>
      </c>
      <c r="C106" s="23">
        <f>SUMIFS(FII_DII_raw_synthetic_Jan_Jun2026[Net_Flow_Cr], FII_DII_raw_synthetic_Jan_Jun2026[Date], A106, FII_DII_raw_synthetic_Jan_Jun2026[Entity_Type], "DII")</f>
        <v>192.81999999999994</v>
      </c>
      <c r="D106" s="23">
        <f t="shared" ref="D106:E106" si="110">AVERAGE(B102:B106)</f>
        <v>-821.31399999999996</v>
      </c>
      <c r="E106" s="23">
        <f t="shared" si="110"/>
        <v>-537.54</v>
      </c>
      <c r="F106" s="23">
        <f t="shared" si="68"/>
        <v>439.26</v>
      </c>
      <c r="G106" s="23">
        <f>SUMIFS(FII_DII_raw_synthetic_Jan_Jun2026[Net_Flow_Cr], FII_DII_raw_synthetic_Jan_Jun2026[Date], $A106, FII_DII_raw_synthetic_Jan_Jun2026[Entity_Type], "FII", FII_DII_raw_synthetic_Jan_Jun2026[Sector], G$1)</f>
        <v>0</v>
      </c>
      <c r="H106" s="23">
        <f>SUMIFS(FII_DII_raw_synthetic_Jan_Jun2026[Net_Flow_Cr], FII_DII_raw_synthetic_Jan_Jun2026[Date], $A106, FII_DII_raw_synthetic_Jan_Jun2026[Entity_Type], "FII", FII_DII_raw_synthetic_Jan_Jun2026[Sector], H$1)</f>
        <v>-772.55</v>
      </c>
      <c r="I106" s="23">
        <f>SUMIFS(FII_DII_raw_synthetic_Jan_Jun2026[Net_Flow_Cr], FII_DII_raw_synthetic_Jan_Jun2026[Date], $A106, FII_DII_raw_synthetic_Jan_Jun2026[Entity_Type], "FII", FII_DII_raw_synthetic_Jan_Jun2026[Sector], I$1)</f>
        <v>1021.06</v>
      </c>
      <c r="J106" s="23">
        <f>SUMIFS(FII_DII_raw_synthetic_Jan_Jun2026[Net_Flow_Cr], FII_DII_raw_synthetic_Jan_Jun2026[Date], $A106, FII_DII_raw_synthetic_Jan_Jun2026[Entity_Type], "FII", FII_DII_raw_synthetic_Jan_Jun2026[Sector], J$1)</f>
        <v>0</v>
      </c>
      <c r="K106" s="23">
        <f>SUMIFS(FII_DII_raw_synthetic_Jan_Jun2026[Net_Flow_Cr], FII_DII_raw_synthetic_Jan_Jun2026[Date], $A106, FII_DII_raw_synthetic_Jan_Jun2026[Entity_Type], "FII", FII_DII_raw_synthetic_Jan_Jun2026[Sector], K$1)</f>
        <v>0</v>
      </c>
      <c r="L106" s="23">
        <f>SUMIFS(FII_DII_raw_synthetic_Jan_Jun2026[Net_Flow_Cr], FII_DII_raw_synthetic_Jan_Jun2026[Date], $A106, FII_DII_raw_synthetic_Jan_Jun2026[Entity_Type], "FII", FII_DII_raw_synthetic_Jan_Jun2026[Sector], L$1)</f>
        <v>0</v>
      </c>
      <c r="M106" s="23">
        <f>SUMIFS(FII_DII_raw_synthetic_Jan_Jun2026[Net_Flow_Cr], FII_DII_raw_synthetic_Jan_Jun2026[Date], $A106, FII_DII_raw_synthetic_Jan_Jun2026[Entity_Type], "FII", FII_DII_raw_synthetic_Jan_Jun2026[Sector], M$1)</f>
        <v>-381</v>
      </c>
      <c r="N106" s="23">
        <f>SUMIFS(FII_DII_raw_synthetic_Jan_Jun2026[Net_Flow_Cr], FII_DII_raw_synthetic_Jan_Jun2026[Date], $A106, FII_DII_raw_synthetic_Jan_Jun2026[Entity_Type], "FII", FII_DII_raw_synthetic_Jan_Jun2026[Sector], N$1)</f>
        <v>-499.59</v>
      </c>
      <c r="O106" s="23">
        <f>SUMIFS(FII_DII_raw_synthetic_Jan_Jun2026[Net_Flow_Cr], FII_DII_raw_synthetic_Jan_Jun2026[Date], $A106, FII_DII_raw_synthetic_Jan_Jun2026[Entity_Type], "FII", FII_DII_raw_synthetic_Jan_Jun2026[Sector], O$1)</f>
        <v>0</v>
      </c>
      <c r="P106" s="23">
        <f>SUMIFS(FII_DII_raw_synthetic_Jan_Jun2026[Net_Flow_Cr], FII_DII_raw_synthetic_Jan_Jun2026[Date], $A106, FII_DII_raw_synthetic_Jan_Jun2026[Entity_Type], "FII", FII_DII_raw_synthetic_Jan_Jun2026[Sector], P$1)</f>
        <v>0</v>
      </c>
      <c r="Q106" s="23" cm="1">
        <f t="array" ref="Q106">SUMPRODUCT(ABS(G106:P106))</f>
        <v>2674.2</v>
      </c>
      <c r="R106" s="23" cm="1">
        <f t="array" ref="R106">LARGE(ABS(G106:P106),1)+LARGE(ABS(G106:P106),2)</f>
        <v>1793.61</v>
      </c>
      <c r="S106" s="25">
        <f t="shared" si="69"/>
        <v>0.67070899708323983</v>
      </c>
      <c r="T106" s="23">
        <f>IFERROR(_xlfn.XLOOKUP(A106, 'Nifty 50 Historical Data'!A:A, 'Nifty 50 Historical Data'!G:G), "")</f>
        <v>-0.03</v>
      </c>
      <c r="W106" t="str">
        <f t="shared" si="70"/>
        <v>Divergent Flow</v>
      </c>
      <c r="Y106">
        <f t="shared" si="71"/>
        <v>22</v>
      </c>
    </row>
    <row r="107" spans="1:25">
      <c r="A107" s="24">
        <v>46170</v>
      </c>
      <c r="B107" s="23">
        <f>SUMIFS(FII_DII_raw_synthetic_Jan_Jun2026[Net_Flow_Cr], FII_DII_raw_synthetic_Jan_Jun2026[Date], A107, FII_DII_raw_synthetic_Jan_Jun2026[Entity_Type], "FII")</f>
        <v>1234.3200000000002</v>
      </c>
      <c r="C107" s="23">
        <f>SUMIFS(FII_DII_raw_synthetic_Jan_Jun2026[Net_Flow_Cr], FII_DII_raw_synthetic_Jan_Jun2026[Date], A107, FII_DII_raw_synthetic_Jan_Jun2026[Entity_Type], "DII")</f>
        <v>1156.44</v>
      </c>
      <c r="D107" s="23">
        <f t="shared" ref="D107:E107" si="111">AVERAGE(B103:B107)</f>
        <v>-206.42200000000003</v>
      </c>
      <c r="E107" s="23">
        <f t="shared" si="111"/>
        <v>-51.28399999999997</v>
      </c>
      <c r="F107" s="23">
        <f t="shared" si="68"/>
        <v>77.880000000000109</v>
      </c>
      <c r="G107" s="23">
        <f>SUMIFS(FII_DII_raw_synthetic_Jan_Jun2026[Net_Flow_Cr], FII_DII_raw_synthetic_Jan_Jun2026[Date], $A107, FII_DII_raw_synthetic_Jan_Jun2026[Entity_Type], "FII", FII_DII_raw_synthetic_Jan_Jun2026[Sector], G$1)</f>
        <v>0</v>
      </c>
      <c r="H107" s="23">
        <f>SUMIFS(FII_DII_raw_synthetic_Jan_Jun2026[Net_Flow_Cr], FII_DII_raw_synthetic_Jan_Jun2026[Date], $A107, FII_DII_raw_synthetic_Jan_Jun2026[Entity_Type], "FII", FII_DII_raw_synthetic_Jan_Jun2026[Sector], H$1)</f>
        <v>207.78</v>
      </c>
      <c r="I107" s="23">
        <f>SUMIFS(FII_DII_raw_synthetic_Jan_Jun2026[Net_Flow_Cr], FII_DII_raw_synthetic_Jan_Jun2026[Date], $A107, FII_DII_raw_synthetic_Jan_Jun2026[Entity_Type], "FII", FII_DII_raw_synthetic_Jan_Jun2026[Sector], I$1)</f>
        <v>0</v>
      </c>
      <c r="J107" s="23">
        <f>SUMIFS(FII_DII_raw_synthetic_Jan_Jun2026[Net_Flow_Cr], FII_DII_raw_synthetic_Jan_Jun2026[Date], $A107, FII_DII_raw_synthetic_Jan_Jun2026[Entity_Type], "FII", FII_DII_raw_synthetic_Jan_Jun2026[Sector], J$1)</f>
        <v>0</v>
      </c>
      <c r="K107" s="23">
        <f>SUMIFS(FII_DII_raw_synthetic_Jan_Jun2026[Net_Flow_Cr], FII_DII_raw_synthetic_Jan_Jun2026[Date], $A107, FII_DII_raw_synthetic_Jan_Jun2026[Entity_Type], "FII", FII_DII_raw_synthetic_Jan_Jun2026[Sector], K$1)</f>
        <v>0</v>
      </c>
      <c r="L107" s="23">
        <f>SUMIFS(FII_DII_raw_synthetic_Jan_Jun2026[Net_Flow_Cr], FII_DII_raw_synthetic_Jan_Jun2026[Date], $A107, FII_DII_raw_synthetic_Jan_Jun2026[Entity_Type], "FII", FII_DII_raw_synthetic_Jan_Jun2026[Sector], L$1)</f>
        <v>159.44</v>
      </c>
      <c r="M107" s="23">
        <f>SUMIFS(FII_DII_raw_synthetic_Jan_Jun2026[Net_Flow_Cr], FII_DII_raw_synthetic_Jan_Jun2026[Date], $A107, FII_DII_raw_synthetic_Jan_Jun2026[Entity_Type], "FII", FII_DII_raw_synthetic_Jan_Jun2026[Sector], M$1)</f>
        <v>0</v>
      </c>
      <c r="N107" s="23">
        <f>SUMIFS(FII_DII_raw_synthetic_Jan_Jun2026[Net_Flow_Cr], FII_DII_raw_synthetic_Jan_Jun2026[Date], $A107, FII_DII_raw_synthetic_Jan_Jun2026[Entity_Type], "FII", FII_DII_raw_synthetic_Jan_Jun2026[Sector], N$1)</f>
        <v>0</v>
      </c>
      <c r="O107" s="23">
        <f>SUMIFS(FII_DII_raw_synthetic_Jan_Jun2026[Net_Flow_Cr], FII_DII_raw_synthetic_Jan_Jun2026[Date], $A107, FII_DII_raw_synthetic_Jan_Jun2026[Entity_Type], "FII", FII_DII_raw_synthetic_Jan_Jun2026[Sector], O$1)</f>
        <v>0</v>
      </c>
      <c r="P107" s="23">
        <f>SUMIFS(FII_DII_raw_synthetic_Jan_Jun2026[Net_Flow_Cr], FII_DII_raw_synthetic_Jan_Jun2026[Date], $A107, FII_DII_raw_synthetic_Jan_Jun2026[Entity_Type], "FII", FII_DII_raw_synthetic_Jan_Jun2026[Sector], P$1)</f>
        <v>867.1</v>
      </c>
      <c r="Q107" s="23" cm="1">
        <f t="array" ref="Q107">SUMPRODUCT(ABS(G107:P107))</f>
        <v>1234.3200000000002</v>
      </c>
      <c r="R107" s="23" cm="1">
        <f t="array" ref="R107">LARGE(ABS(G107:P107),1)+LARGE(ABS(G107:P107),2)</f>
        <v>1074.8800000000001</v>
      </c>
      <c r="S107" s="25">
        <f t="shared" si="69"/>
        <v>0.87082766219456864</v>
      </c>
      <c r="T107" s="23" t="str">
        <f>IFERROR(_xlfn.XLOOKUP(A107, 'Nifty 50 Historical Data'!A:A, 'Nifty 50 Historical Data'!G:G), "")</f>
        <v/>
      </c>
      <c r="W107" t="str">
        <f t="shared" si="70"/>
        <v>Aligned Flow</v>
      </c>
      <c r="Y107">
        <f t="shared" si="71"/>
        <v>22</v>
      </c>
    </row>
    <row r="108" spans="1:25">
      <c r="A108" s="24">
        <v>46171</v>
      </c>
      <c r="B108" s="23">
        <f>SUMIFS(FII_DII_raw_synthetic_Jan_Jun2026[Net_Flow_Cr], FII_DII_raw_synthetic_Jan_Jun2026[Date], A108, FII_DII_raw_synthetic_Jan_Jun2026[Entity_Type], "FII")</f>
        <v>790.73000000000025</v>
      </c>
      <c r="C108" s="23">
        <f>SUMIFS(FII_DII_raw_synthetic_Jan_Jun2026[Net_Flow_Cr], FII_DII_raw_synthetic_Jan_Jun2026[Date], A108, FII_DII_raw_synthetic_Jan_Jun2026[Entity_Type], "DII")</f>
        <v>-1126.06</v>
      </c>
      <c r="D108" s="23">
        <f t="shared" ref="D108:E108" si="112">AVERAGE(B104:B108)</f>
        <v>154.40400000000008</v>
      </c>
      <c r="E108" s="23">
        <f t="shared" si="112"/>
        <v>-572.55799999999999</v>
      </c>
      <c r="F108" s="23">
        <f t="shared" si="68"/>
        <v>-335.3299999999997</v>
      </c>
      <c r="G108" s="23">
        <f>SUMIFS(FII_DII_raw_synthetic_Jan_Jun2026[Net_Flow_Cr], FII_DII_raw_synthetic_Jan_Jun2026[Date], $A108, FII_DII_raw_synthetic_Jan_Jun2026[Entity_Type], "FII", FII_DII_raw_synthetic_Jan_Jun2026[Sector], G$1)</f>
        <v>0</v>
      </c>
      <c r="H108" s="23">
        <f>SUMIFS(FII_DII_raw_synthetic_Jan_Jun2026[Net_Flow_Cr], FII_DII_raw_synthetic_Jan_Jun2026[Date], $A108, FII_DII_raw_synthetic_Jan_Jun2026[Entity_Type], "FII", FII_DII_raw_synthetic_Jan_Jun2026[Sector], H$1)</f>
        <v>338.88</v>
      </c>
      <c r="I108" s="23">
        <f>SUMIFS(FII_DII_raw_synthetic_Jan_Jun2026[Net_Flow_Cr], FII_DII_raw_synthetic_Jan_Jun2026[Date], $A108, FII_DII_raw_synthetic_Jan_Jun2026[Entity_Type], "FII", FII_DII_raw_synthetic_Jan_Jun2026[Sector], I$1)</f>
        <v>1537.48</v>
      </c>
      <c r="J108" s="23">
        <f>SUMIFS(FII_DII_raw_synthetic_Jan_Jun2026[Net_Flow_Cr], FII_DII_raw_synthetic_Jan_Jun2026[Date], $A108, FII_DII_raw_synthetic_Jan_Jun2026[Entity_Type], "FII", FII_DII_raw_synthetic_Jan_Jun2026[Sector], J$1)</f>
        <v>0</v>
      </c>
      <c r="K108" s="23">
        <f>SUMIFS(FII_DII_raw_synthetic_Jan_Jun2026[Net_Flow_Cr], FII_DII_raw_synthetic_Jan_Jun2026[Date], $A108, FII_DII_raw_synthetic_Jan_Jun2026[Entity_Type], "FII", FII_DII_raw_synthetic_Jan_Jun2026[Sector], K$1)</f>
        <v>-748.99</v>
      </c>
      <c r="L108" s="23">
        <f>SUMIFS(FII_DII_raw_synthetic_Jan_Jun2026[Net_Flow_Cr], FII_DII_raw_synthetic_Jan_Jun2026[Date], $A108, FII_DII_raw_synthetic_Jan_Jun2026[Entity_Type], "FII", FII_DII_raw_synthetic_Jan_Jun2026[Sector], L$1)</f>
        <v>0</v>
      </c>
      <c r="M108" s="23">
        <f>SUMIFS(FII_DII_raw_synthetic_Jan_Jun2026[Net_Flow_Cr], FII_DII_raw_synthetic_Jan_Jun2026[Date], $A108, FII_DII_raw_synthetic_Jan_Jun2026[Entity_Type], "FII", FII_DII_raw_synthetic_Jan_Jun2026[Sector], M$1)</f>
        <v>0</v>
      </c>
      <c r="N108" s="23">
        <f>SUMIFS(FII_DII_raw_synthetic_Jan_Jun2026[Net_Flow_Cr], FII_DII_raw_synthetic_Jan_Jun2026[Date], $A108, FII_DII_raw_synthetic_Jan_Jun2026[Entity_Type], "FII", FII_DII_raw_synthetic_Jan_Jun2026[Sector], N$1)</f>
        <v>0</v>
      </c>
      <c r="O108" s="23">
        <f>SUMIFS(FII_DII_raw_synthetic_Jan_Jun2026[Net_Flow_Cr], FII_DII_raw_synthetic_Jan_Jun2026[Date], $A108, FII_DII_raw_synthetic_Jan_Jun2026[Entity_Type], "FII", FII_DII_raw_synthetic_Jan_Jun2026[Sector], O$1)</f>
        <v>0</v>
      </c>
      <c r="P108" s="23">
        <f>SUMIFS(FII_DII_raw_synthetic_Jan_Jun2026[Net_Flow_Cr], FII_DII_raw_synthetic_Jan_Jun2026[Date], $A108, FII_DII_raw_synthetic_Jan_Jun2026[Entity_Type], "FII", FII_DII_raw_synthetic_Jan_Jun2026[Sector], P$1)</f>
        <v>-336.64</v>
      </c>
      <c r="Q108" s="23" cm="1">
        <f t="array" ref="Q108">SUMPRODUCT(ABS(G108:P108))</f>
        <v>2961.9900000000002</v>
      </c>
      <c r="R108" s="23" cm="1">
        <f t="array" ref="R108">LARGE(ABS(G108:P108),1)+LARGE(ABS(G108:P108),2)</f>
        <v>2286.4700000000003</v>
      </c>
      <c r="S108" s="25">
        <f t="shared" si="69"/>
        <v>0.77193710984844655</v>
      </c>
      <c r="T108" s="23">
        <f>IFERROR(_xlfn.XLOOKUP(A108, 'Nifty 50 Historical Data'!A:A, 'Nifty 50 Historical Data'!G:G), "")</f>
        <v>-1.5</v>
      </c>
      <c r="W108" t="str">
        <f t="shared" si="70"/>
        <v>Divergent Flow</v>
      </c>
      <c r="Y108">
        <f t="shared" si="71"/>
        <v>22</v>
      </c>
    </row>
    <row r="109" spans="1:25">
      <c r="A109" s="24">
        <v>46174</v>
      </c>
      <c r="B109" s="23">
        <f>SUMIFS(FII_DII_raw_synthetic_Jan_Jun2026[Net_Flow_Cr], FII_DII_raw_synthetic_Jan_Jun2026[Date], A109, FII_DII_raw_synthetic_Jan_Jun2026[Entity_Type], "FII")</f>
        <v>263.88</v>
      </c>
      <c r="C109" s="23">
        <f>SUMIFS(FII_DII_raw_synthetic_Jan_Jun2026[Net_Flow_Cr], FII_DII_raw_synthetic_Jan_Jun2026[Date], A109, FII_DII_raw_synthetic_Jan_Jun2026[Entity_Type], "DII")</f>
        <v>-2744.29</v>
      </c>
      <c r="D109" s="23">
        <f t="shared" ref="D109:E109" si="113">AVERAGE(B105:B109)</f>
        <v>357.48000000000013</v>
      </c>
      <c r="E109" s="23">
        <f t="shared" si="113"/>
        <v>-946.65399999999988</v>
      </c>
      <c r="F109" s="23">
        <f t="shared" si="68"/>
        <v>-2480.41</v>
      </c>
      <c r="G109" s="23">
        <f>SUMIFS(FII_DII_raw_synthetic_Jan_Jun2026[Net_Flow_Cr], FII_DII_raw_synthetic_Jan_Jun2026[Date], $A109, FII_DII_raw_synthetic_Jan_Jun2026[Entity_Type], "FII", FII_DII_raw_synthetic_Jan_Jun2026[Sector], G$1)</f>
        <v>263.88</v>
      </c>
      <c r="H109" s="23">
        <f>SUMIFS(FII_DII_raw_synthetic_Jan_Jun2026[Net_Flow_Cr], FII_DII_raw_synthetic_Jan_Jun2026[Date], $A109, FII_DII_raw_synthetic_Jan_Jun2026[Entity_Type], "FII", FII_DII_raw_synthetic_Jan_Jun2026[Sector], H$1)</f>
        <v>0</v>
      </c>
      <c r="I109" s="23">
        <f>SUMIFS(FII_DII_raw_synthetic_Jan_Jun2026[Net_Flow_Cr], FII_DII_raw_synthetic_Jan_Jun2026[Date], $A109, FII_DII_raw_synthetic_Jan_Jun2026[Entity_Type], "FII", FII_DII_raw_synthetic_Jan_Jun2026[Sector], I$1)</f>
        <v>0</v>
      </c>
      <c r="J109" s="23">
        <f>SUMIFS(FII_DII_raw_synthetic_Jan_Jun2026[Net_Flow_Cr], FII_DII_raw_synthetic_Jan_Jun2026[Date], $A109, FII_DII_raw_synthetic_Jan_Jun2026[Entity_Type], "FII", FII_DII_raw_synthetic_Jan_Jun2026[Sector], J$1)</f>
        <v>0</v>
      </c>
      <c r="K109" s="23">
        <f>SUMIFS(FII_DII_raw_synthetic_Jan_Jun2026[Net_Flow_Cr], FII_DII_raw_synthetic_Jan_Jun2026[Date], $A109, FII_DII_raw_synthetic_Jan_Jun2026[Entity_Type], "FII", FII_DII_raw_synthetic_Jan_Jun2026[Sector], K$1)</f>
        <v>0</v>
      </c>
      <c r="L109" s="23">
        <f>SUMIFS(FII_DII_raw_synthetic_Jan_Jun2026[Net_Flow_Cr], FII_DII_raw_synthetic_Jan_Jun2026[Date], $A109, FII_DII_raw_synthetic_Jan_Jun2026[Entity_Type], "FII", FII_DII_raw_synthetic_Jan_Jun2026[Sector], L$1)</f>
        <v>0</v>
      </c>
      <c r="M109" s="23">
        <f>SUMIFS(FII_DII_raw_synthetic_Jan_Jun2026[Net_Flow_Cr], FII_DII_raw_synthetic_Jan_Jun2026[Date], $A109, FII_DII_raw_synthetic_Jan_Jun2026[Entity_Type], "FII", FII_DII_raw_synthetic_Jan_Jun2026[Sector], M$1)</f>
        <v>0</v>
      </c>
      <c r="N109" s="23">
        <f>SUMIFS(FII_DII_raw_synthetic_Jan_Jun2026[Net_Flow_Cr], FII_DII_raw_synthetic_Jan_Jun2026[Date], $A109, FII_DII_raw_synthetic_Jan_Jun2026[Entity_Type], "FII", FII_DII_raw_synthetic_Jan_Jun2026[Sector], N$1)</f>
        <v>0</v>
      </c>
      <c r="O109" s="23">
        <f>SUMIFS(FII_DII_raw_synthetic_Jan_Jun2026[Net_Flow_Cr], FII_DII_raw_synthetic_Jan_Jun2026[Date], $A109, FII_DII_raw_synthetic_Jan_Jun2026[Entity_Type], "FII", FII_DII_raw_synthetic_Jan_Jun2026[Sector], O$1)</f>
        <v>0</v>
      </c>
      <c r="P109" s="23">
        <f>SUMIFS(FII_DII_raw_synthetic_Jan_Jun2026[Net_Flow_Cr], FII_DII_raw_synthetic_Jan_Jun2026[Date], $A109, FII_DII_raw_synthetic_Jan_Jun2026[Entity_Type], "FII", FII_DII_raw_synthetic_Jan_Jun2026[Sector], P$1)</f>
        <v>0</v>
      </c>
      <c r="Q109" s="23" cm="1">
        <f t="array" ref="Q109">SUMPRODUCT(ABS(G109:P109))</f>
        <v>263.88</v>
      </c>
      <c r="R109" s="23" cm="1">
        <f t="array" ref="R109">LARGE(ABS(G109:P109),1)+LARGE(ABS(G109:P109),2)</f>
        <v>263.88</v>
      </c>
      <c r="S109" s="25">
        <f t="shared" si="69"/>
        <v>1</v>
      </c>
      <c r="T109" s="23">
        <f>IFERROR(_xlfn.XLOOKUP(A109, 'Nifty 50 Historical Data'!A:A, 'Nifty 50 Historical Data'!G:G), "")</f>
        <v>-0.7</v>
      </c>
      <c r="W109" t="str">
        <f t="shared" si="70"/>
        <v>Divergent Flow</v>
      </c>
      <c r="Y109">
        <f t="shared" si="71"/>
        <v>23</v>
      </c>
    </row>
    <row r="110" spans="1:25">
      <c r="A110" s="24">
        <v>46175</v>
      </c>
      <c r="B110" s="23">
        <f>SUMIFS(FII_DII_raw_synthetic_Jan_Jun2026[Net_Flow_Cr], FII_DII_raw_synthetic_Jan_Jun2026[Date], A110, FII_DII_raw_synthetic_Jan_Jun2026[Entity_Type], "FII")</f>
        <v>-614.34</v>
      </c>
      <c r="C110" s="23">
        <f>SUMIFS(FII_DII_raw_synthetic_Jan_Jun2026[Net_Flow_Cr], FII_DII_raw_synthetic_Jan_Jun2026[Date], A110, FII_DII_raw_synthetic_Jan_Jun2026[Entity_Type], "DII")</f>
        <v>-1388.97</v>
      </c>
      <c r="D110" s="23">
        <f t="shared" ref="D110:E110" si="114">AVERAGE(B106:B110)</f>
        <v>208.50200000000004</v>
      </c>
      <c r="E110" s="23">
        <f t="shared" si="114"/>
        <v>-782.01200000000006</v>
      </c>
      <c r="F110" s="23">
        <f t="shared" si="68"/>
        <v>-774.63</v>
      </c>
      <c r="G110" s="23">
        <f>SUMIFS(FII_DII_raw_synthetic_Jan_Jun2026[Net_Flow_Cr], FII_DII_raw_synthetic_Jan_Jun2026[Date], $A110, FII_DII_raw_synthetic_Jan_Jun2026[Entity_Type], "FII", FII_DII_raw_synthetic_Jan_Jun2026[Sector], G$1)</f>
        <v>-614.34</v>
      </c>
      <c r="H110" s="23">
        <f>SUMIFS(FII_DII_raw_synthetic_Jan_Jun2026[Net_Flow_Cr], FII_DII_raw_synthetic_Jan_Jun2026[Date], $A110, FII_DII_raw_synthetic_Jan_Jun2026[Entity_Type], "FII", FII_DII_raw_synthetic_Jan_Jun2026[Sector], H$1)</f>
        <v>0</v>
      </c>
      <c r="I110" s="23">
        <f>SUMIFS(FII_DII_raw_synthetic_Jan_Jun2026[Net_Flow_Cr], FII_DII_raw_synthetic_Jan_Jun2026[Date], $A110, FII_DII_raw_synthetic_Jan_Jun2026[Entity_Type], "FII", FII_DII_raw_synthetic_Jan_Jun2026[Sector], I$1)</f>
        <v>0</v>
      </c>
      <c r="J110" s="23">
        <f>SUMIFS(FII_DII_raw_synthetic_Jan_Jun2026[Net_Flow_Cr], FII_DII_raw_synthetic_Jan_Jun2026[Date], $A110, FII_DII_raw_synthetic_Jan_Jun2026[Entity_Type], "FII", FII_DII_raw_synthetic_Jan_Jun2026[Sector], J$1)</f>
        <v>0</v>
      </c>
      <c r="K110" s="23">
        <f>SUMIFS(FII_DII_raw_synthetic_Jan_Jun2026[Net_Flow_Cr], FII_DII_raw_synthetic_Jan_Jun2026[Date], $A110, FII_DII_raw_synthetic_Jan_Jun2026[Entity_Type], "FII", FII_DII_raw_synthetic_Jan_Jun2026[Sector], K$1)</f>
        <v>0</v>
      </c>
      <c r="L110" s="23">
        <f>SUMIFS(FII_DII_raw_synthetic_Jan_Jun2026[Net_Flow_Cr], FII_DII_raw_synthetic_Jan_Jun2026[Date], $A110, FII_DII_raw_synthetic_Jan_Jun2026[Entity_Type], "FII", FII_DII_raw_synthetic_Jan_Jun2026[Sector], L$1)</f>
        <v>0</v>
      </c>
      <c r="M110" s="23">
        <f>SUMIFS(FII_DII_raw_synthetic_Jan_Jun2026[Net_Flow_Cr], FII_DII_raw_synthetic_Jan_Jun2026[Date], $A110, FII_DII_raw_synthetic_Jan_Jun2026[Entity_Type], "FII", FII_DII_raw_synthetic_Jan_Jun2026[Sector], M$1)</f>
        <v>0</v>
      </c>
      <c r="N110" s="23">
        <f>SUMIFS(FII_DII_raw_synthetic_Jan_Jun2026[Net_Flow_Cr], FII_DII_raw_synthetic_Jan_Jun2026[Date], $A110, FII_DII_raw_synthetic_Jan_Jun2026[Entity_Type], "FII", FII_DII_raw_synthetic_Jan_Jun2026[Sector], N$1)</f>
        <v>0</v>
      </c>
      <c r="O110" s="23">
        <f>SUMIFS(FII_DII_raw_synthetic_Jan_Jun2026[Net_Flow_Cr], FII_DII_raw_synthetic_Jan_Jun2026[Date], $A110, FII_DII_raw_synthetic_Jan_Jun2026[Entity_Type], "FII", FII_DII_raw_synthetic_Jan_Jun2026[Sector], O$1)</f>
        <v>0</v>
      </c>
      <c r="P110" s="23">
        <f>SUMIFS(FII_DII_raw_synthetic_Jan_Jun2026[Net_Flow_Cr], FII_DII_raw_synthetic_Jan_Jun2026[Date], $A110, FII_DII_raw_synthetic_Jan_Jun2026[Entity_Type], "FII", FII_DII_raw_synthetic_Jan_Jun2026[Sector], P$1)</f>
        <v>0</v>
      </c>
      <c r="Q110" s="23" cm="1">
        <f t="array" ref="Q110">SUMPRODUCT(ABS(G110:P110))</f>
        <v>614.34</v>
      </c>
      <c r="R110" s="23" cm="1">
        <f t="array" ref="R110">LARGE(ABS(G110:P110),1)+LARGE(ABS(G110:P110),2)</f>
        <v>614.34</v>
      </c>
      <c r="S110" s="25">
        <f t="shared" si="69"/>
        <v>1</v>
      </c>
      <c r="T110" s="23">
        <f>IFERROR(_xlfn.XLOOKUP(A110, 'Nifty 50 Historical Data'!A:A, 'Nifty 50 Historical Data'!G:G), "")</f>
        <v>0.43</v>
      </c>
      <c r="W110" t="str">
        <f t="shared" si="70"/>
        <v>Aligned Flow</v>
      </c>
      <c r="Y110">
        <f t="shared" si="71"/>
        <v>23</v>
      </c>
    </row>
    <row r="111" spans="1:25">
      <c r="A111" s="24">
        <v>46176</v>
      </c>
      <c r="B111" s="23">
        <f>SUMIFS(FII_DII_raw_synthetic_Jan_Jun2026[Net_Flow_Cr], FII_DII_raw_synthetic_Jan_Jun2026[Date], A111, FII_DII_raw_synthetic_Jan_Jun2026[Entity_Type], "FII")</f>
        <v>1389.3600000000001</v>
      </c>
      <c r="C111" s="23">
        <f>SUMIFS(FII_DII_raw_synthetic_Jan_Jun2026[Net_Flow_Cr], FII_DII_raw_synthetic_Jan_Jun2026[Date], A111, FII_DII_raw_synthetic_Jan_Jun2026[Entity_Type], "DII")</f>
        <v>-2942.7699999999995</v>
      </c>
      <c r="D111" s="23">
        <f t="shared" ref="D111:E111" si="115">AVERAGE(B107:B111)</f>
        <v>612.79000000000008</v>
      </c>
      <c r="E111" s="23">
        <f t="shared" si="115"/>
        <v>-1409.1299999999999</v>
      </c>
      <c r="F111" s="23">
        <f t="shared" si="68"/>
        <v>-1553.4099999999994</v>
      </c>
      <c r="G111" s="23">
        <f>SUMIFS(FII_DII_raw_synthetic_Jan_Jun2026[Net_Flow_Cr], FII_DII_raw_synthetic_Jan_Jun2026[Date], $A111, FII_DII_raw_synthetic_Jan_Jun2026[Entity_Type], "FII", FII_DII_raw_synthetic_Jan_Jun2026[Sector], G$1)</f>
        <v>1465.98</v>
      </c>
      <c r="H111" s="23">
        <f>SUMIFS(FII_DII_raw_synthetic_Jan_Jun2026[Net_Flow_Cr], FII_DII_raw_synthetic_Jan_Jun2026[Date], $A111, FII_DII_raw_synthetic_Jan_Jun2026[Entity_Type], "FII", FII_DII_raw_synthetic_Jan_Jun2026[Sector], H$1)</f>
        <v>0</v>
      </c>
      <c r="I111" s="23">
        <f>SUMIFS(FII_DII_raw_synthetic_Jan_Jun2026[Net_Flow_Cr], FII_DII_raw_synthetic_Jan_Jun2026[Date], $A111, FII_DII_raw_synthetic_Jan_Jun2026[Entity_Type], "FII", FII_DII_raw_synthetic_Jan_Jun2026[Sector], I$1)</f>
        <v>39.35</v>
      </c>
      <c r="J111" s="23">
        <f>SUMIFS(FII_DII_raw_synthetic_Jan_Jun2026[Net_Flow_Cr], FII_DII_raw_synthetic_Jan_Jun2026[Date], $A111, FII_DII_raw_synthetic_Jan_Jun2026[Entity_Type], "FII", FII_DII_raw_synthetic_Jan_Jun2026[Sector], J$1)</f>
        <v>0</v>
      </c>
      <c r="K111" s="23">
        <f>SUMIFS(FII_DII_raw_synthetic_Jan_Jun2026[Net_Flow_Cr], FII_DII_raw_synthetic_Jan_Jun2026[Date], $A111, FII_DII_raw_synthetic_Jan_Jun2026[Entity_Type], "FII", FII_DII_raw_synthetic_Jan_Jun2026[Sector], K$1)</f>
        <v>0</v>
      </c>
      <c r="L111" s="23">
        <f>SUMIFS(FII_DII_raw_synthetic_Jan_Jun2026[Net_Flow_Cr], FII_DII_raw_synthetic_Jan_Jun2026[Date], $A111, FII_DII_raw_synthetic_Jan_Jun2026[Entity_Type], "FII", FII_DII_raw_synthetic_Jan_Jun2026[Sector], L$1)</f>
        <v>-115.97</v>
      </c>
      <c r="M111" s="23">
        <f>SUMIFS(FII_DII_raw_synthetic_Jan_Jun2026[Net_Flow_Cr], FII_DII_raw_synthetic_Jan_Jun2026[Date], $A111, FII_DII_raw_synthetic_Jan_Jun2026[Entity_Type], "FII", FII_DII_raw_synthetic_Jan_Jun2026[Sector], M$1)</f>
        <v>0</v>
      </c>
      <c r="N111" s="23">
        <f>SUMIFS(FII_DII_raw_synthetic_Jan_Jun2026[Net_Flow_Cr], FII_DII_raw_synthetic_Jan_Jun2026[Date], $A111, FII_DII_raw_synthetic_Jan_Jun2026[Entity_Type], "FII", FII_DII_raw_synthetic_Jan_Jun2026[Sector], N$1)</f>
        <v>0</v>
      </c>
      <c r="O111" s="23">
        <f>SUMIFS(FII_DII_raw_synthetic_Jan_Jun2026[Net_Flow_Cr], FII_DII_raw_synthetic_Jan_Jun2026[Date], $A111, FII_DII_raw_synthetic_Jan_Jun2026[Entity_Type], "FII", FII_DII_raw_synthetic_Jan_Jun2026[Sector], O$1)</f>
        <v>0</v>
      </c>
      <c r="P111" s="23">
        <f>SUMIFS(FII_DII_raw_synthetic_Jan_Jun2026[Net_Flow_Cr], FII_DII_raw_synthetic_Jan_Jun2026[Date], $A111, FII_DII_raw_synthetic_Jan_Jun2026[Entity_Type], "FII", FII_DII_raw_synthetic_Jan_Jun2026[Sector], P$1)</f>
        <v>0</v>
      </c>
      <c r="Q111" s="23" cm="1">
        <f t="array" ref="Q111">SUMPRODUCT(ABS(G111:P111))</f>
        <v>1621.3</v>
      </c>
      <c r="R111" s="23" cm="1">
        <f t="array" ref="R111">LARGE(ABS(G111:P111),1)+LARGE(ABS(G111:P111),2)</f>
        <v>1581.95</v>
      </c>
      <c r="S111" s="25">
        <f t="shared" si="69"/>
        <v>0.97572935298834274</v>
      </c>
      <c r="T111" s="23">
        <f>IFERROR(_xlfn.XLOOKUP(A111, 'Nifty 50 Historical Data'!A:A, 'Nifty 50 Historical Data'!G:G), "")</f>
        <v>-0.33</v>
      </c>
      <c r="W111" t="str">
        <f t="shared" si="70"/>
        <v>Divergent Flow</v>
      </c>
      <c r="Y111">
        <f t="shared" si="71"/>
        <v>23</v>
      </c>
    </row>
    <row r="112" spans="1:25">
      <c r="A112" s="24">
        <v>46177</v>
      </c>
      <c r="B112" s="23">
        <f>SUMIFS(FII_DII_raw_synthetic_Jan_Jun2026[Net_Flow_Cr], FII_DII_raw_synthetic_Jan_Jun2026[Date], A112, FII_DII_raw_synthetic_Jan_Jun2026[Entity_Type], "FII")</f>
        <v>-2279.2200000000003</v>
      </c>
      <c r="C112" s="23">
        <f>SUMIFS(FII_DII_raw_synthetic_Jan_Jun2026[Net_Flow_Cr], FII_DII_raw_synthetic_Jan_Jun2026[Date], A112, FII_DII_raw_synthetic_Jan_Jun2026[Entity_Type], "DII")</f>
        <v>2011.52</v>
      </c>
      <c r="D112" s="23">
        <f t="shared" ref="D112:E112" si="116">AVERAGE(B108:B112)</f>
        <v>-89.918000000000035</v>
      </c>
      <c r="E112" s="23">
        <f t="shared" si="116"/>
        <v>-1238.114</v>
      </c>
      <c r="F112" s="23">
        <f t="shared" si="68"/>
        <v>267.70000000000027</v>
      </c>
      <c r="G112" s="23">
        <f>SUMIFS(FII_DII_raw_synthetic_Jan_Jun2026[Net_Flow_Cr], FII_DII_raw_synthetic_Jan_Jun2026[Date], $A112, FII_DII_raw_synthetic_Jan_Jun2026[Entity_Type], "FII", FII_DII_raw_synthetic_Jan_Jun2026[Sector], G$1)</f>
        <v>0</v>
      </c>
      <c r="H112" s="23">
        <f>SUMIFS(FII_DII_raw_synthetic_Jan_Jun2026[Net_Flow_Cr], FII_DII_raw_synthetic_Jan_Jun2026[Date], $A112, FII_DII_raw_synthetic_Jan_Jun2026[Entity_Type], "FII", FII_DII_raw_synthetic_Jan_Jun2026[Sector], H$1)</f>
        <v>-1075.95</v>
      </c>
      <c r="I112" s="23">
        <f>SUMIFS(FII_DII_raw_synthetic_Jan_Jun2026[Net_Flow_Cr], FII_DII_raw_synthetic_Jan_Jun2026[Date], $A112, FII_DII_raw_synthetic_Jan_Jun2026[Entity_Type], "FII", FII_DII_raw_synthetic_Jan_Jun2026[Sector], I$1)</f>
        <v>15.05</v>
      </c>
      <c r="J112" s="23">
        <f>SUMIFS(FII_DII_raw_synthetic_Jan_Jun2026[Net_Flow_Cr], FII_DII_raw_synthetic_Jan_Jun2026[Date], $A112, FII_DII_raw_synthetic_Jan_Jun2026[Entity_Type], "FII", FII_DII_raw_synthetic_Jan_Jun2026[Sector], J$1)</f>
        <v>-265.82</v>
      </c>
      <c r="K112" s="23">
        <f>SUMIFS(FII_DII_raw_synthetic_Jan_Jun2026[Net_Flow_Cr], FII_DII_raw_synthetic_Jan_Jun2026[Date], $A112, FII_DII_raw_synthetic_Jan_Jun2026[Entity_Type], "FII", FII_DII_raw_synthetic_Jan_Jun2026[Sector], K$1)</f>
        <v>0</v>
      </c>
      <c r="L112" s="23">
        <f>SUMIFS(FII_DII_raw_synthetic_Jan_Jun2026[Net_Flow_Cr], FII_DII_raw_synthetic_Jan_Jun2026[Date], $A112, FII_DII_raw_synthetic_Jan_Jun2026[Entity_Type], "FII", FII_DII_raw_synthetic_Jan_Jun2026[Sector], L$1)</f>
        <v>0</v>
      </c>
      <c r="M112" s="23">
        <f>SUMIFS(FII_DII_raw_synthetic_Jan_Jun2026[Net_Flow_Cr], FII_DII_raw_synthetic_Jan_Jun2026[Date], $A112, FII_DII_raw_synthetic_Jan_Jun2026[Entity_Type], "FII", FII_DII_raw_synthetic_Jan_Jun2026[Sector], M$1)</f>
        <v>0</v>
      </c>
      <c r="N112" s="23">
        <f>SUMIFS(FII_DII_raw_synthetic_Jan_Jun2026[Net_Flow_Cr], FII_DII_raw_synthetic_Jan_Jun2026[Date], $A112, FII_DII_raw_synthetic_Jan_Jun2026[Entity_Type], "FII", FII_DII_raw_synthetic_Jan_Jun2026[Sector], N$1)</f>
        <v>0</v>
      </c>
      <c r="O112" s="23">
        <f>SUMIFS(FII_DII_raw_synthetic_Jan_Jun2026[Net_Flow_Cr], FII_DII_raw_synthetic_Jan_Jun2026[Date], $A112, FII_DII_raw_synthetic_Jan_Jun2026[Entity_Type], "FII", FII_DII_raw_synthetic_Jan_Jun2026[Sector], O$1)</f>
        <v>0</v>
      </c>
      <c r="P112" s="23">
        <f>SUMIFS(FII_DII_raw_synthetic_Jan_Jun2026[Net_Flow_Cr], FII_DII_raw_synthetic_Jan_Jun2026[Date], $A112, FII_DII_raw_synthetic_Jan_Jun2026[Entity_Type], "FII", FII_DII_raw_synthetic_Jan_Jun2026[Sector], P$1)</f>
        <v>-952.5</v>
      </c>
      <c r="Q112" s="23" cm="1">
        <f t="array" ref="Q112">SUMPRODUCT(ABS(G112:P112))</f>
        <v>2309.3199999999997</v>
      </c>
      <c r="R112" s="23" cm="1">
        <f t="array" ref="R112">LARGE(ABS(G112:P112),1)+LARGE(ABS(G112:P112),2)</f>
        <v>2028.45</v>
      </c>
      <c r="S112" s="25">
        <f t="shared" si="69"/>
        <v>0.87837545251416016</v>
      </c>
      <c r="T112" s="23">
        <f>IFERROR(_xlfn.XLOOKUP(A112, 'Nifty 50 Historical Data'!A:A, 'Nifty 50 Historical Data'!G:G), "")</f>
        <v>0.05</v>
      </c>
      <c r="W112" t="str">
        <f t="shared" si="70"/>
        <v>Strong FII Selling</v>
      </c>
      <c r="Y112">
        <f t="shared" si="71"/>
        <v>23</v>
      </c>
    </row>
    <row r="113" spans="1:25">
      <c r="A113" s="24">
        <v>46178</v>
      </c>
      <c r="B113" s="23">
        <f>SUMIFS(FII_DII_raw_synthetic_Jan_Jun2026[Net_Flow_Cr], FII_DII_raw_synthetic_Jan_Jun2026[Date], A113, FII_DII_raw_synthetic_Jan_Jun2026[Entity_Type], "FII")</f>
        <v>3096.4300000000003</v>
      </c>
      <c r="C113" s="23">
        <f>SUMIFS(FII_DII_raw_synthetic_Jan_Jun2026[Net_Flow_Cr], FII_DII_raw_synthetic_Jan_Jun2026[Date], A113, FII_DII_raw_synthetic_Jan_Jun2026[Entity_Type], "DII")</f>
        <v>3927.12</v>
      </c>
      <c r="D113" s="23">
        <f t="shared" ref="D113:E113" si="117">AVERAGE(B109:B113)</f>
        <v>371.22200000000004</v>
      </c>
      <c r="E113" s="23">
        <f t="shared" si="117"/>
        <v>-227.47800000000007</v>
      </c>
      <c r="F113" s="23">
        <f t="shared" si="68"/>
        <v>-830.6899999999996</v>
      </c>
      <c r="G113" s="23">
        <f>SUMIFS(FII_DII_raw_synthetic_Jan_Jun2026[Net_Flow_Cr], FII_DII_raw_synthetic_Jan_Jun2026[Date], $A113, FII_DII_raw_synthetic_Jan_Jun2026[Entity_Type], "FII", FII_DII_raw_synthetic_Jan_Jun2026[Sector], G$1)</f>
        <v>0</v>
      </c>
      <c r="H113" s="23">
        <f>SUMIFS(FII_DII_raw_synthetic_Jan_Jun2026[Net_Flow_Cr], FII_DII_raw_synthetic_Jan_Jun2026[Date], $A113, FII_DII_raw_synthetic_Jan_Jun2026[Entity_Type], "FII", FII_DII_raw_synthetic_Jan_Jun2026[Sector], H$1)</f>
        <v>1637.96</v>
      </c>
      <c r="I113" s="23">
        <f>SUMIFS(FII_DII_raw_synthetic_Jan_Jun2026[Net_Flow_Cr], FII_DII_raw_synthetic_Jan_Jun2026[Date], $A113, FII_DII_raw_synthetic_Jan_Jun2026[Entity_Type], "FII", FII_DII_raw_synthetic_Jan_Jun2026[Sector], I$1)</f>
        <v>0</v>
      </c>
      <c r="J113" s="23">
        <f>SUMIFS(FII_DII_raw_synthetic_Jan_Jun2026[Net_Flow_Cr], FII_DII_raw_synthetic_Jan_Jun2026[Date], $A113, FII_DII_raw_synthetic_Jan_Jun2026[Entity_Type], "FII", FII_DII_raw_synthetic_Jan_Jun2026[Sector], J$1)</f>
        <v>0</v>
      </c>
      <c r="K113" s="23">
        <f>SUMIFS(FII_DII_raw_synthetic_Jan_Jun2026[Net_Flow_Cr], FII_DII_raw_synthetic_Jan_Jun2026[Date], $A113, FII_DII_raw_synthetic_Jan_Jun2026[Entity_Type], "FII", FII_DII_raw_synthetic_Jan_Jun2026[Sector], K$1)</f>
        <v>0</v>
      </c>
      <c r="L113" s="23">
        <f>SUMIFS(FII_DII_raw_synthetic_Jan_Jun2026[Net_Flow_Cr], FII_DII_raw_synthetic_Jan_Jun2026[Date], $A113, FII_DII_raw_synthetic_Jan_Jun2026[Entity_Type], "FII", FII_DII_raw_synthetic_Jan_Jun2026[Sector], L$1)</f>
        <v>1458.47</v>
      </c>
      <c r="M113" s="23">
        <f>SUMIFS(FII_DII_raw_synthetic_Jan_Jun2026[Net_Flow_Cr], FII_DII_raw_synthetic_Jan_Jun2026[Date], $A113, FII_DII_raw_synthetic_Jan_Jun2026[Entity_Type], "FII", FII_DII_raw_synthetic_Jan_Jun2026[Sector], M$1)</f>
        <v>0</v>
      </c>
      <c r="N113" s="23">
        <f>SUMIFS(FII_DII_raw_synthetic_Jan_Jun2026[Net_Flow_Cr], FII_DII_raw_synthetic_Jan_Jun2026[Date], $A113, FII_DII_raw_synthetic_Jan_Jun2026[Entity_Type], "FII", FII_DII_raw_synthetic_Jan_Jun2026[Sector], N$1)</f>
        <v>0</v>
      </c>
      <c r="O113" s="23">
        <f>SUMIFS(FII_DII_raw_synthetic_Jan_Jun2026[Net_Flow_Cr], FII_DII_raw_synthetic_Jan_Jun2026[Date], $A113, FII_DII_raw_synthetic_Jan_Jun2026[Entity_Type], "FII", FII_DII_raw_synthetic_Jan_Jun2026[Sector], O$1)</f>
        <v>0</v>
      </c>
      <c r="P113" s="23">
        <f>SUMIFS(FII_DII_raw_synthetic_Jan_Jun2026[Net_Flow_Cr], FII_DII_raw_synthetic_Jan_Jun2026[Date], $A113, FII_DII_raw_synthetic_Jan_Jun2026[Entity_Type], "FII", FII_DII_raw_synthetic_Jan_Jun2026[Sector], P$1)</f>
        <v>0</v>
      </c>
      <c r="Q113" s="23" cm="1">
        <f t="array" ref="Q113">SUMPRODUCT(ABS(G113:P113))</f>
        <v>3096.4300000000003</v>
      </c>
      <c r="R113" s="23" cm="1">
        <f t="array" ref="R113">LARGE(ABS(G113:P113),1)+LARGE(ABS(G113:P113),2)</f>
        <v>3096.4300000000003</v>
      </c>
      <c r="S113" s="25">
        <f t="shared" si="69"/>
        <v>1</v>
      </c>
      <c r="T113" s="23">
        <f>IFERROR(_xlfn.XLOOKUP(A113, 'Nifty 50 Historical Data'!A:A, 'Nifty 50 Historical Data'!G:G), "")</f>
        <v>-0.21</v>
      </c>
      <c r="W113" t="str">
        <f t="shared" si="70"/>
        <v>Strong FII Buying</v>
      </c>
      <c r="Y113">
        <f t="shared" si="71"/>
        <v>23</v>
      </c>
    </row>
    <row r="114" spans="1:25">
      <c r="A114" s="24">
        <v>46181</v>
      </c>
      <c r="B114" s="23">
        <f>SUMIFS(FII_DII_raw_synthetic_Jan_Jun2026[Net_Flow_Cr], FII_DII_raw_synthetic_Jan_Jun2026[Date], A114, FII_DII_raw_synthetic_Jan_Jun2026[Entity_Type], "FII")</f>
        <v>-2107.06</v>
      </c>
      <c r="C114" s="23">
        <f>SUMIFS(FII_DII_raw_synthetic_Jan_Jun2026[Net_Flow_Cr], FII_DII_raw_synthetic_Jan_Jun2026[Date], A114, FII_DII_raw_synthetic_Jan_Jun2026[Entity_Type], "DII")</f>
        <v>1456.15</v>
      </c>
      <c r="D114" s="23">
        <f t="shared" ref="D114:E114" si="118">AVERAGE(B110:B114)</f>
        <v>-102.96599999999998</v>
      </c>
      <c r="E114" s="23">
        <f t="shared" si="118"/>
        <v>612.61</v>
      </c>
      <c r="F114" s="23">
        <f t="shared" si="68"/>
        <v>650.90999999999985</v>
      </c>
      <c r="G114" s="23">
        <f>SUMIFS(FII_DII_raw_synthetic_Jan_Jun2026[Net_Flow_Cr], FII_DII_raw_synthetic_Jan_Jun2026[Date], $A114, FII_DII_raw_synthetic_Jan_Jun2026[Entity_Type], "FII", FII_DII_raw_synthetic_Jan_Jun2026[Sector], G$1)</f>
        <v>0</v>
      </c>
      <c r="H114" s="23">
        <f>SUMIFS(FII_DII_raw_synthetic_Jan_Jun2026[Net_Flow_Cr], FII_DII_raw_synthetic_Jan_Jun2026[Date], $A114, FII_DII_raw_synthetic_Jan_Jun2026[Entity_Type], "FII", FII_DII_raw_synthetic_Jan_Jun2026[Sector], H$1)</f>
        <v>0</v>
      </c>
      <c r="I114" s="23">
        <f>SUMIFS(FII_DII_raw_synthetic_Jan_Jun2026[Net_Flow_Cr], FII_DII_raw_synthetic_Jan_Jun2026[Date], $A114, FII_DII_raw_synthetic_Jan_Jun2026[Entity_Type], "FII", FII_DII_raw_synthetic_Jan_Jun2026[Sector], I$1)</f>
        <v>0</v>
      </c>
      <c r="J114" s="23">
        <f>SUMIFS(FII_DII_raw_synthetic_Jan_Jun2026[Net_Flow_Cr], FII_DII_raw_synthetic_Jan_Jun2026[Date], $A114, FII_DII_raw_synthetic_Jan_Jun2026[Entity_Type], "FII", FII_DII_raw_synthetic_Jan_Jun2026[Sector], J$1)</f>
        <v>0</v>
      </c>
      <c r="K114" s="23">
        <f>SUMIFS(FII_DII_raw_synthetic_Jan_Jun2026[Net_Flow_Cr], FII_DII_raw_synthetic_Jan_Jun2026[Date], $A114, FII_DII_raw_synthetic_Jan_Jun2026[Entity_Type], "FII", FII_DII_raw_synthetic_Jan_Jun2026[Sector], K$1)</f>
        <v>-934.85</v>
      </c>
      <c r="L114" s="23">
        <f>SUMIFS(FII_DII_raw_synthetic_Jan_Jun2026[Net_Flow_Cr], FII_DII_raw_synthetic_Jan_Jun2026[Date], $A114, FII_DII_raw_synthetic_Jan_Jun2026[Entity_Type], "FII", FII_DII_raw_synthetic_Jan_Jun2026[Sector], L$1)</f>
        <v>0</v>
      </c>
      <c r="M114" s="23">
        <f>SUMIFS(FII_DII_raw_synthetic_Jan_Jun2026[Net_Flow_Cr], FII_DII_raw_synthetic_Jan_Jun2026[Date], $A114, FII_DII_raw_synthetic_Jan_Jun2026[Entity_Type], "FII", FII_DII_raw_synthetic_Jan_Jun2026[Sector], M$1)</f>
        <v>0</v>
      </c>
      <c r="N114" s="23">
        <f>SUMIFS(FII_DII_raw_synthetic_Jan_Jun2026[Net_Flow_Cr], FII_DII_raw_synthetic_Jan_Jun2026[Date], $A114, FII_DII_raw_synthetic_Jan_Jun2026[Entity_Type], "FII", FII_DII_raw_synthetic_Jan_Jun2026[Sector], N$1)</f>
        <v>-817.16</v>
      </c>
      <c r="O114" s="23">
        <f>SUMIFS(FII_DII_raw_synthetic_Jan_Jun2026[Net_Flow_Cr], FII_DII_raw_synthetic_Jan_Jun2026[Date], $A114, FII_DII_raw_synthetic_Jan_Jun2026[Entity_Type], "FII", FII_DII_raw_synthetic_Jan_Jun2026[Sector], O$1)</f>
        <v>0</v>
      </c>
      <c r="P114" s="23">
        <f>SUMIFS(FII_DII_raw_synthetic_Jan_Jun2026[Net_Flow_Cr], FII_DII_raw_synthetic_Jan_Jun2026[Date], $A114, FII_DII_raw_synthetic_Jan_Jun2026[Entity_Type], "FII", FII_DII_raw_synthetic_Jan_Jun2026[Sector], P$1)</f>
        <v>-355.05</v>
      </c>
      <c r="Q114" s="23" cm="1">
        <f t="array" ref="Q114">SUMPRODUCT(ABS(G114:P114))</f>
        <v>2107.06</v>
      </c>
      <c r="R114" s="23" cm="1">
        <f t="array" ref="R114">LARGE(ABS(G114:P114),1)+LARGE(ABS(G114:P114),2)</f>
        <v>1752.01</v>
      </c>
      <c r="S114" s="25">
        <f t="shared" si="69"/>
        <v>0.83149506895864378</v>
      </c>
      <c r="T114" s="23">
        <f>IFERROR(_xlfn.XLOOKUP(A114, 'Nifty 50 Historical Data'!A:A, 'Nifty 50 Historical Data'!G:G), "")</f>
        <v>-1.04</v>
      </c>
      <c r="W114" t="str">
        <f t="shared" si="70"/>
        <v>Strong FII Selling</v>
      </c>
      <c r="Y114">
        <f t="shared" si="71"/>
        <v>24</v>
      </c>
    </row>
    <row r="115" spans="1:25">
      <c r="A115" s="24">
        <v>46182</v>
      </c>
      <c r="B115" s="23">
        <f>SUMIFS(FII_DII_raw_synthetic_Jan_Jun2026[Net_Flow_Cr], FII_DII_raw_synthetic_Jan_Jun2026[Date], A115, FII_DII_raw_synthetic_Jan_Jun2026[Entity_Type], "FII")</f>
        <v>1222.94</v>
      </c>
      <c r="C115" s="23">
        <f>SUMIFS(FII_DII_raw_synthetic_Jan_Jun2026[Net_Flow_Cr], FII_DII_raw_synthetic_Jan_Jun2026[Date], A115, FII_DII_raw_synthetic_Jan_Jun2026[Entity_Type], "DII")</f>
        <v>1636.8799999999997</v>
      </c>
      <c r="D115" s="23">
        <f t="shared" ref="D115:E115" si="119">AVERAGE(B111:B115)</f>
        <v>264.49000000000007</v>
      </c>
      <c r="E115" s="23">
        <f t="shared" si="119"/>
        <v>1217.78</v>
      </c>
      <c r="F115" s="23">
        <f t="shared" si="68"/>
        <v>-413.9399999999996</v>
      </c>
      <c r="G115" s="23">
        <f>SUMIFS(FII_DII_raw_synthetic_Jan_Jun2026[Net_Flow_Cr], FII_DII_raw_synthetic_Jan_Jun2026[Date], $A115, FII_DII_raw_synthetic_Jan_Jun2026[Entity_Type], "FII", FII_DII_raw_synthetic_Jan_Jun2026[Sector], G$1)</f>
        <v>0</v>
      </c>
      <c r="H115" s="23">
        <f>SUMIFS(FII_DII_raw_synthetic_Jan_Jun2026[Net_Flow_Cr], FII_DII_raw_synthetic_Jan_Jun2026[Date], $A115, FII_DII_raw_synthetic_Jan_Jun2026[Entity_Type], "FII", FII_DII_raw_synthetic_Jan_Jun2026[Sector], H$1)</f>
        <v>0</v>
      </c>
      <c r="I115" s="23">
        <f>SUMIFS(FII_DII_raw_synthetic_Jan_Jun2026[Net_Flow_Cr], FII_DII_raw_synthetic_Jan_Jun2026[Date], $A115, FII_DII_raw_synthetic_Jan_Jun2026[Entity_Type], "FII", FII_DII_raw_synthetic_Jan_Jun2026[Sector], I$1)</f>
        <v>0</v>
      </c>
      <c r="J115" s="23">
        <f>SUMIFS(FII_DII_raw_synthetic_Jan_Jun2026[Net_Flow_Cr], FII_DII_raw_synthetic_Jan_Jun2026[Date], $A115, FII_DII_raw_synthetic_Jan_Jun2026[Entity_Type], "FII", FII_DII_raw_synthetic_Jan_Jun2026[Sector], J$1)</f>
        <v>0</v>
      </c>
      <c r="K115" s="23">
        <f>SUMIFS(FII_DII_raw_synthetic_Jan_Jun2026[Net_Flow_Cr], FII_DII_raw_synthetic_Jan_Jun2026[Date], $A115, FII_DII_raw_synthetic_Jan_Jun2026[Entity_Type], "FII", FII_DII_raw_synthetic_Jan_Jun2026[Sector], K$1)</f>
        <v>686.58</v>
      </c>
      <c r="L115" s="23">
        <f>SUMIFS(FII_DII_raw_synthetic_Jan_Jun2026[Net_Flow_Cr], FII_DII_raw_synthetic_Jan_Jun2026[Date], $A115, FII_DII_raw_synthetic_Jan_Jun2026[Entity_Type], "FII", FII_DII_raw_synthetic_Jan_Jun2026[Sector], L$1)</f>
        <v>0</v>
      </c>
      <c r="M115" s="23">
        <f>SUMIFS(FII_DII_raw_synthetic_Jan_Jun2026[Net_Flow_Cr], FII_DII_raw_synthetic_Jan_Jun2026[Date], $A115, FII_DII_raw_synthetic_Jan_Jun2026[Entity_Type], "FII", FII_DII_raw_synthetic_Jan_Jun2026[Sector], M$1)</f>
        <v>49.82</v>
      </c>
      <c r="N115" s="23">
        <f>SUMIFS(FII_DII_raw_synthetic_Jan_Jun2026[Net_Flow_Cr], FII_DII_raw_synthetic_Jan_Jun2026[Date], $A115, FII_DII_raw_synthetic_Jan_Jun2026[Entity_Type], "FII", FII_DII_raw_synthetic_Jan_Jun2026[Sector], N$1)</f>
        <v>86.38</v>
      </c>
      <c r="O115" s="23">
        <f>SUMIFS(FII_DII_raw_synthetic_Jan_Jun2026[Net_Flow_Cr], FII_DII_raw_synthetic_Jan_Jun2026[Date], $A115, FII_DII_raw_synthetic_Jan_Jun2026[Entity_Type], "FII", FII_DII_raw_synthetic_Jan_Jun2026[Sector], O$1)</f>
        <v>0</v>
      </c>
      <c r="P115" s="23">
        <f>SUMIFS(FII_DII_raw_synthetic_Jan_Jun2026[Net_Flow_Cr], FII_DII_raw_synthetic_Jan_Jun2026[Date], $A115, FII_DII_raw_synthetic_Jan_Jun2026[Entity_Type], "FII", FII_DII_raw_synthetic_Jan_Jun2026[Sector], P$1)</f>
        <v>400.16</v>
      </c>
      <c r="Q115" s="23" cm="1">
        <f t="array" ref="Q115">SUMPRODUCT(ABS(G115:P115))</f>
        <v>1222.94</v>
      </c>
      <c r="R115" s="23" cm="1">
        <f t="array" ref="R115">LARGE(ABS(G115:P115),1)+LARGE(ABS(G115:P115),2)</f>
        <v>1086.74</v>
      </c>
      <c r="S115" s="25">
        <f t="shared" si="69"/>
        <v>0.88862904149017941</v>
      </c>
      <c r="T115" s="23">
        <f>IFERROR(_xlfn.XLOOKUP(A115, 'Nifty 50 Historical Data'!A:A, 'Nifty 50 Historical Data'!G:G), "")</f>
        <v>0.52</v>
      </c>
      <c r="W115" t="str">
        <f t="shared" si="70"/>
        <v>Aligned Flow</v>
      </c>
      <c r="Y115">
        <f t="shared" si="71"/>
        <v>24</v>
      </c>
    </row>
    <row r="116" spans="1:25">
      <c r="A116" s="24">
        <v>46183</v>
      </c>
      <c r="B116" s="23">
        <f>SUMIFS(FII_DII_raw_synthetic_Jan_Jun2026[Net_Flow_Cr], FII_DII_raw_synthetic_Jan_Jun2026[Date], A116, FII_DII_raw_synthetic_Jan_Jun2026[Entity_Type], "FII")</f>
        <v>684.0200000000001</v>
      </c>
      <c r="C116" s="23">
        <f>SUMIFS(FII_DII_raw_synthetic_Jan_Jun2026[Net_Flow_Cr], FII_DII_raw_synthetic_Jan_Jun2026[Date], A116, FII_DII_raw_synthetic_Jan_Jun2026[Entity_Type], "DII")</f>
        <v>-1041.03</v>
      </c>
      <c r="D116" s="23">
        <f t="shared" ref="D116:E116" si="120">AVERAGE(B112:B116)</f>
        <v>123.42200000000005</v>
      </c>
      <c r="E116" s="23">
        <f t="shared" si="120"/>
        <v>1598.1279999999997</v>
      </c>
      <c r="F116" s="23">
        <f t="shared" si="68"/>
        <v>-357.00999999999988</v>
      </c>
      <c r="G116" s="23">
        <f>SUMIFS(FII_DII_raw_synthetic_Jan_Jun2026[Net_Flow_Cr], FII_DII_raw_synthetic_Jan_Jun2026[Date], $A116, FII_DII_raw_synthetic_Jan_Jun2026[Entity_Type], "FII", FII_DII_raw_synthetic_Jan_Jun2026[Sector], G$1)</f>
        <v>1552.79</v>
      </c>
      <c r="H116" s="23">
        <f>SUMIFS(FII_DII_raw_synthetic_Jan_Jun2026[Net_Flow_Cr], FII_DII_raw_synthetic_Jan_Jun2026[Date], $A116, FII_DII_raw_synthetic_Jan_Jun2026[Entity_Type], "FII", FII_DII_raw_synthetic_Jan_Jun2026[Sector], H$1)</f>
        <v>-782.65</v>
      </c>
      <c r="I116" s="23">
        <f>SUMIFS(FII_DII_raw_synthetic_Jan_Jun2026[Net_Flow_Cr], FII_DII_raw_synthetic_Jan_Jun2026[Date], $A116, FII_DII_raw_synthetic_Jan_Jun2026[Entity_Type], "FII", FII_DII_raw_synthetic_Jan_Jun2026[Sector], I$1)</f>
        <v>0</v>
      </c>
      <c r="J116" s="23">
        <f>SUMIFS(FII_DII_raw_synthetic_Jan_Jun2026[Net_Flow_Cr], FII_DII_raw_synthetic_Jan_Jun2026[Date], $A116, FII_DII_raw_synthetic_Jan_Jun2026[Entity_Type], "FII", FII_DII_raw_synthetic_Jan_Jun2026[Sector], J$1)</f>
        <v>0</v>
      </c>
      <c r="K116" s="23">
        <f>SUMIFS(FII_DII_raw_synthetic_Jan_Jun2026[Net_Flow_Cr], FII_DII_raw_synthetic_Jan_Jun2026[Date], $A116, FII_DII_raw_synthetic_Jan_Jun2026[Entity_Type], "FII", FII_DII_raw_synthetic_Jan_Jun2026[Sector], K$1)</f>
        <v>0</v>
      </c>
      <c r="L116" s="23">
        <f>SUMIFS(FII_DII_raw_synthetic_Jan_Jun2026[Net_Flow_Cr], FII_DII_raw_synthetic_Jan_Jun2026[Date], $A116, FII_DII_raw_synthetic_Jan_Jun2026[Entity_Type], "FII", FII_DII_raw_synthetic_Jan_Jun2026[Sector], L$1)</f>
        <v>0</v>
      </c>
      <c r="M116" s="23">
        <f>SUMIFS(FII_DII_raw_synthetic_Jan_Jun2026[Net_Flow_Cr], FII_DII_raw_synthetic_Jan_Jun2026[Date], $A116, FII_DII_raw_synthetic_Jan_Jun2026[Entity_Type], "FII", FII_DII_raw_synthetic_Jan_Jun2026[Sector], M$1)</f>
        <v>0</v>
      </c>
      <c r="N116" s="23">
        <f>SUMIFS(FII_DII_raw_synthetic_Jan_Jun2026[Net_Flow_Cr], FII_DII_raw_synthetic_Jan_Jun2026[Date], $A116, FII_DII_raw_synthetic_Jan_Jun2026[Entity_Type], "FII", FII_DII_raw_synthetic_Jan_Jun2026[Sector], N$1)</f>
        <v>-130.44</v>
      </c>
      <c r="O116" s="23">
        <f>SUMIFS(FII_DII_raw_synthetic_Jan_Jun2026[Net_Flow_Cr], FII_DII_raw_synthetic_Jan_Jun2026[Date], $A116, FII_DII_raw_synthetic_Jan_Jun2026[Entity_Type], "FII", FII_DII_raw_synthetic_Jan_Jun2026[Sector], O$1)</f>
        <v>0</v>
      </c>
      <c r="P116" s="23">
        <f>SUMIFS(FII_DII_raw_synthetic_Jan_Jun2026[Net_Flow_Cr], FII_DII_raw_synthetic_Jan_Jun2026[Date], $A116, FII_DII_raw_synthetic_Jan_Jun2026[Entity_Type], "FII", FII_DII_raw_synthetic_Jan_Jun2026[Sector], P$1)</f>
        <v>44.32</v>
      </c>
      <c r="Q116" s="23" cm="1">
        <f t="array" ref="Q116">SUMPRODUCT(ABS(G116:P116))</f>
        <v>2510.2000000000003</v>
      </c>
      <c r="R116" s="23" cm="1">
        <f t="array" ref="R116">LARGE(ABS(G116:P116),1)+LARGE(ABS(G116:P116),2)</f>
        <v>2335.44</v>
      </c>
      <c r="S116" s="25">
        <f t="shared" si="69"/>
        <v>0.9303800493984542</v>
      </c>
      <c r="T116" s="23">
        <f>IFERROR(_xlfn.XLOOKUP(A116, 'Nifty 50 Historical Data'!A:A, 'Nifty 50 Historical Data'!G:G), "")</f>
        <v>-0.12</v>
      </c>
      <c r="W116" t="str">
        <f t="shared" si="70"/>
        <v>Divergent Flow</v>
      </c>
      <c r="Y116">
        <f t="shared" si="71"/>
        <v>24</v>
      </c>
    </row>
    <row r="117" spans="1:25">
      <c r="A117" s="24">
        <v>46184</v>
      </c>
      <c r="B117" s="23">
        <f>SUMIFS(FII_DII_raw_synthetic_Jan_Jun2026[Net_Flow_Cr], FII_DII_raw_synthetic_Jan_Jun2026[Date], A117, FII_DII_raw_synthetic_Jan_Jun2026[Entity_Type], "FII")</f>
        <v>-439.62000000000006</v>
      </c>
      <c r="C117" s="23">
        <f>SUMIFS(FII_DII_raw_synthetic_Jan_Jun2026[Net_Flow_Cr], FII_DII_raw_synthetic_Jan_Jun2026[Date], A117, FII_DII_raw_synthetic_Jan_Jun2026[Entity_Type], "DII")</f>
        <v>1028.3899999999999</v>
      </c>
      <c r="D117" s="23">
        <f t="shared" ref="D117:E117" si="121">AVERAGE(B113:B117)</f>
        <v>491.3420000000001</v>
      </c>
      <c r="E117" s="23">
        <f t="shared" si="121"/>
        <v>1401.502</v>
      </c>
      <c r="F117" s="23">
        <f t="shared" si="68"/>
        <v>-588.76999999999975</v>
      </c>
      <c r="G117" s="23">
        <f>SUMIFS(FII_DII_raw_synthetic_Jan_Jun2026[Net_Flow_Cr], FII_DII_raw_synthetic_Jan_Jun2026[Date], $A117, FII_DII_raw_synthetic_Jan_Jun2026[Entity_Type], "FII", FII_DII_raw_synthetic_Jan_Jun2026[Sector], G$1)</f>
        <v>0</v>
      </c>
      <c r="H117" s="23">
        <f>SUMIFS(FII_DII_raw_synthetic_Jan_Jun2026[Net_Flow_Cr], FII_DII_raw_synthetic_Jan_Jun2026[Date], $A117, FII_DII_raw_synthetic_Jan_Jun2026[Entity_Type], "FII", FII_DII_raw_synthetic_Jan_Jun2026[Sector], H$1)</f>
        <v>-169.31</v>
      </c>
      <c r="I117" s="23">
        <f>SUMIFS(FII_DII_raw_synthetic_Jan_Jun2026[Net_Flow_Cr], FII_DII_raw_synthetic_Jan_Jun2026[Date], $A117, FII_DII_raw_synthetic_Jan_Jun2026[Entity_Type], "FII", FII_DII_raw_synthetic_Jan_Jun2026[Sector], I$1)</f>
        <v>0</v>
      </c>
      <c r="J117" s="23">
        <f>SUMIFS(FII_DII_raw_synthetic_Jan_Jun2026[Net_Flow_Cr], FII_DII_raw_synthetic_Jan_Jun2026[Date], $A117, FII_DII_raw_synthetic_Jan_Jun2026[Entity_Type], "FII", FII_DII_raw_synthetic_Jan_Jun2026[Sector], J$1)</f>
        <v>-816.2</v>
      </c>
      <c r="K117" s="23">
        <f>SUMIFS(FII_DII_raw_synthetic_Jan_Jun2026[Net_Flow_Cr], FII_DII_raw_synthetic_Jan_Jun2026[Date], $A117, FII_DII_raw_synthetic_Jan_Jun2026[Entity_Type], "FII", FII_DII_raw_synthetic_Jan_Jun2026[Sector], K$1)</f>
        <v>0</v>
      </c>
      <c r="L117" s="23">
        <f>SUMIFS(FII_DII_raw_synthetic_Jan_Jun2026[Net_Flow_Cr], FII_DII_raw_synthetic_Jan_Jun2026[Date], $A117, FII_DII_raw_synthetic_Jan_Jun2026[Entity_Type], "FII", FII_DII_raw_synthetic_Jan_Jun2026[Sector], L$1)</f>
        <v>0</v>
      </c>
      <c r="M117" s="23">
        <f>SUMIFS(FII_DII_raw_synthetic_Jan_Jun2026[Net_Flow_Cr], FII_DII_raw_synthetic_Jan_Jun2026[Date], $A117, FII_DII_raw_synthetic_Jan_Jun2026[Entity_Type], "FII", FII_DII_raw_synthetic_Jan_Jun2026[Sector], M$1)</f>
        <v>0</v>
      </c>
      <c r="N117" s="23">
        <f>SUMIFS(FII_DII_raw_synthetic_Jan_Jun2026[Net_Flow_Cr], FII_DII_raw_synthetic_Jan_Jun2026[Date], $A117, FII_DII_raw_synthetic_Jan_Jun2026[Entity_Type], "FII", FII_DII_raw_synthetic_Jan_Jun2026[Sector], N$1)</f>
        <v>545.89</v>
      </c>
      <c r="O117" s="23">
        <f>SUMIFS(FII_DII_raw_synthetic_Jan_Jun2026[Net_Flow_Cr], FII_DII_raw_synthetic_Jan_Jun2026[Date], $A117, FII_DII_raw_synthetic_Jan_Jun2026[Entity_Type], "FII", FII_DII_raw_synthetic_Jan_Jun2026[Sector], O$1)</f>
        <v>0</v>
      </c>
      <c r="P117" s="23">
        <f>SUMIFS(FII_DII_raw_synthetic_Jan_Jun2026[Net_Flow_Cr], FII_DII_raw_synthetic_Jan_Jun2026[Date], $A117, FII_DII_raw_synthetic_Jan_Jun2026[Entity_Type], "FII", FII_DII_raw_synthetic_Jan_Jun2026[Sector], P$1)</f>
        <v>0</v>
      </c>
      <c r="Q117" s="23" cm="1">
        <f t="array" ref="Q117">SUMPRODUCT(ABS(G117:P117))</f>
        <v>1531.4</v>
      </c>
      <c r="R117" s="23" cm="1">
        <f t="array" ref="R117">LARGE(ABS(G117:P117),1)+LARGE(ABS(G117:P117),2)</f>
        <v>1362.0900000000001</v>
      </c>
      <c r="S117" s="25">
        <f t="shared" si="69"/>
        <v>0.88944103434765576</v>
      </c>
      <c r="T117" s="23">
        <f>IFERROR(_xlfn.XLOOKUP(A117, 'Nifty 50 Historical Data'!A:A, 'Nifty 50 Historical Data'!G:G), "")</f>
        <v>-0.23</v>
      </c>
      <c r="W117" t="str">
        <f t="shared" si="70"/>
        <v>Divergent Flow</v>
      </c>
      <c r="Y117">
        <f t="shared" si="71"/>
        <v>24</v>
      </c>
    </row>
    <row r="118" spans="1:25">
      <c r="A118" s="24">
        <v>46185</v>
      </c>
      <c r="B118" s="23">
        <f>SUMIFS(FII_DII_raw_synthetic_Jan_Jun2026[Net_Flow_Cr], FII_DII_raw_synthetic_Jan_Jun2026[Date], A118, FII_DII_raw_synthetic_Jan_Jun2026[Entity_Type], "FII")</f>
        <v>-1128.53</v>
      </c>
      <c r="C118" s="23">
        <f>SUMIFS(FII_DII_raw_synthetic_Jan_Jun2026[Net_Flow_Cr], FII_DII_raw_synthetic_Jan_Jun2026[Date], A118, FII_DII_raw_synthetic_Jan_Jun2026[Entity_Type], "DII")</f>
        <v>-4973.26</v>
      </c>
      <c r="D118" s="23">
        <f t="shared" ref="D118:E118" si="122">AVERAGE(B114:B118)</f>
        <v>-353.65</v>
      </c>
      <c r="E118" s="23">
        <f t="shared" si="122"/>
        <v>-378.57400000000007</v>
      </c>
      <c r="F118" s="23">
        <f t="shared" si="68"/>
        <v>-3844.7300000000005</v>
      </c>
      <c r="G118" s="23">
        <f>SUMIFS(FII_DII_raw_synthetic_Jan_Jun2026[Net_Flow_Cr], FII_DII_raw_synthetic_Jan_Jun2026[Date], $A118, FII_DII_raw_synthetic_Jan_Jun2026[Entity_Type], "FII", FII_DII_raw_synthetic_Jan_Jun2026[Sector], G$1)</f>
        <v>0</v>
      </c>
      <c r="H118" s="23">
        <f>SUMIFS(FII_DII_raw_synthetic_Jan_Jun2026[Net_Flow_Cr], FII_DII_raw_synthetic_Jan_Jun2026[Date], $A118, FII_DII_raw_synthetic_Jan_Jun2026[Entity_Type], "FII", FII_DII_raw_synthetic_Jan_Jun2026[Sector], H$1)</f>
        <v>-423.56</v>
      </c>
      <c r="I118" s="23">
        <f>SUMIFS(FII_DII_raw_synthetic_Jan_Jun2026[Net_Flow_Cr], FII_DII_raw_synthetic_Jan_Jun2026[Date], $A118, FII_DII_raw_synthetic_Jan_Jun2026[Entity_Type], "FII", FII_DII_raw_synthetic_Jan_Jun2026[Sector], I$1)</f>
        <v>0</v>
      </c>
      <c r="J118" s="23">
        <f>SUMIFS(FII_DII_raw_synthetic_Jan_Jun2026[Net_Flow_Cr], FII_DII_raw_synthetic_Jan_Jun2026[Date], $A118, FII_DII_raw_synthetic_Jan_Jun2026[Entity_Type], "FII", FII_DII_raw_synthetic_Jan_Jun2026[Sector], J$1)</f>
        <v>0</v>
      </c>
      <c r="K118" s="23">
        <f>SUMIFS(FII_DII_raw_synthetic_Jan_Jun2026[Net_Flow_Cr], FII_DII_raw_synthetic_Jan_Jun2026[Date], $A118, FII_DII_raw_synthetic_Jan_Jun2026[Entity_Type], "FII", FII_DII_raw_synthetic_Jan_Jun2026[Sector], K$1)</f>
        <v>0</v>
      </c>
      <c r="L118" s="23">
        <f>SUMIFS(FII_DII_raw_synthetic_Jan_Jun2026[Net_Flow_Cr], FII_DII_raw_synthetic_Jan_Jun2026[Date], $A118, FII_DII_raw_synthetic_Jan_Jun2026[Entity_Type], "FII", FII_DII_raw_synthetic_Jan_Jun2026[Sector], L$1)</f>
        <v>653.21</v>
      </c>
      <c r="M118" s="23">
        <f>SUMIFS(FII_DII_raw_synthetic_Jan_Jun2026[Net_Flow_Cr], FII_DII_raw_synthetic_Jan_Jun2026[Date], $A118, FII_DII_raw_synthetic_Jan_Jun2026[Entity_Type], "FII", FII_DII_raw_synthetic_Jan_Jun2026[Sector], M$1)</f>
        <v>-917.96</v>
      </c>
      <c r="N118" s="23">
        <f>SUMIFS(FII_DII_raw_synthetic_Jan_Jun2026[Net_Flow_Cr], FII_DII_raw_synthetic_Jan_Jun2026[Date], $A118, FII_DII_raw_synthetic_Jan_Jun2026[Entity_Type], "FII", FII_DII_raw_synthetic_Jan_Jun2026[Sector], N$1)</f>
        <v>0</v>
      </c>
      <c r="O118" s="23">
        <f>SUMIFS(FII_DII_raw_synthetic_Jan_Jun2026[Net_Flow_Cr], FII_DII_raw_synthetic_Jan_Jun2026[Date], $A118, FII_DII_raw_synthetic_Jan_Jun2026[Entity_Type], "FII", FII_DII_raw_synthetic_Jan_Jun2026[Sector], O$1)</f>
        <v>-440.22</v>
      </c>
      <c r="P118" s="23">
        <f>SUMIFS(FII_DII_raw_synthetic_Jan_Jun2026[Net_Flow_Cr], FII_DII_raw_synthetic_Jan_Jun2026[Date], $A118, FII_DII_raw_synthetic_Jan_Jun2026[Entity_Type], "FII", FII_DII_raw_synthetic_Jan_Jun2026[Sector], P$1)</f>
        <v>0</v>
      </c>
      <c r="Q118" s="23" cm="1">
        <f t="array" ref="Q118">SUMPRODUCT(ABS(G118:P118))</f>
        <v>2434.9499999999998</v>
      </c>
      <c r="R118" s="23" cm="1">
        <f t="array" ref="R118">LARGE(ABS(G118:P118),1)+LARGE(ABS(G118:P118),2)</f>
        <v>1571.17</v>
      </c>
      <c r="S118" s="25">
        <f t="shared" si="69"/>
        <v>0.64525760282552014</v>
      </c>
      <c r="T118" s="23">
        <f>IFERROR(_xlfn.XLOOKUP(A118, 'Nifty 50 Historical Data'!A:A, 'Nifty 50 Historical Data'!G:G), "")</f>
        <v>1.99</v>
      </c>
      <c r="W118" t="str">
        <f t="shared" si="70"/>
        <v>Aligned Flow</v>
      </c>
      <c r="Y118">
        <f t="shared" si="71"/>
        <v>24</v>
      </c>
    </row>
    <row r="119" spans="1:25">
      <c r="A119" s="24">
        <v>46188</v>
      </c>
      <c r="B119" s="23">
        <f>SUMIFS(FII_DII_raw_synthetic_Jan_Jun2026[Net_Flow_Cr], FII_DII_raw_synthetic_Jan_Jun2026[Date], A119, FII_DII_raw_synthetic_Jan_Jun2026[Entity_Type], "FII")</f>
        <v>-543.31999999999994</v>
      </c>
      <c r="C119" s="23">
        <f>SUMIFS(FII_DII_raw_synthetic_Jan_Jun2026[Net_Flow_Cr], FII_DII_raw_synthetic_Jan_Jun2026[Date], A119, FII_DII_raw_synthetic_Jan_Jun2026[Entity_Type], "DII")</f>
        <v>1441.35</v>
      </c>
      <c r="D119" s="23">
        <f t="shared" ref="D119:E119" si="123">AVERAGE(B115:B119)</f>
        <v>-40.902000000000001</v>
      </c>
      <c r="E119" s="23">
        <f t="shared" si="123"/>
        <v>-381.53400000000011</v>
      </c>
      <c r="F119" s="23">
        <f t="shared" si="68"/>
        <v>-898.03</v>
      </c>
      <c r="G119" s="23">
        <f>SUMIFS(FII_DII_raw_synthetic_Jan_Jun2026[Net_Flow_Cr], FII_DII_raw_synthetic_Jan_Jun2026[Date], $A119, FII_DII_raw_synthetic_Jan_Jun2026[Entity_Type], "FII", FII_DII_raw_synthetic_Jan_Jun2026[Sector], G$1)</f>
        <v>0</v>
      </c>
      <c r="H119" s="23">
        <f>SUMIFS(FII_DII_raw_synthetic_Jan_Jun2026[Net_Flow_Cr], FII_DII_raw_synthetic_Jan_Jun2026[Date], $A119, FII_DII_raw_synthetic_Jan_Jun2026[Entity_Type], "FII", FII_DII_raw_synthetic_Jan_Jun2026[Sector], H$1)</f>
        <v>-597.49</v>
      </c>
      <c r="I119" s="23">
        <f>SUMIFS(FII_DII_raw_synthetic_Jan_Jun2026[Net_Flow_Cr], FII_DII_raw_synthetic_Jan_Jun2026[Date], $A119, FII_DII_raw_synthetic_Jan_Jun2026[Entity_Type], "FII", FII_DII_raw_synthetic_Jan_Jun2026[Sector], I$1)</f>
        <v>0</v>
      </c>
      <c r="J119" s="23">
        <f>SUMIFS(FII_DII_raw_synthetic_Jan_Jun2026[Net_Flow_Cr], FII_DII_raw_synthetic_Jan_Jun2026[Date], $A119, FII_DII_raw_synthetic_Jan_Jun2026[Entity_Type], "FII", FII_DII_raw_synthetic_Jan_Jun2026[Sector], J$1)</f>
        <v>0</v>
      </c>
      <c r="K119" s="23">
        <f>SUMIFS(FII_DII_raw_synthetic_Jan_Jun2026[Net_Flow_Cr], FII_DII_raw_synthetic_Jan_Jun2026[Date], $A119, FII_DII_raw_synthetic_Jan_Jun2026[Entity_Type], "FII", FII_DII_raw_synthetic_Jan_Jun2026[Sector], K$1)</f>
        <v>-0.66</v>
      </c>
      <c r="L119" s="23">
        <f>SUMIFS(FII_DII_raw_synthetic_Jan_Jun2026[Net_Flow_Cr], FII_DII_raw_synthetic_Jan_Jun2026[Date], $A119, FII_DII_raw_synthetic_Jan_Jun2026[Entity_Type], "FII", FII_DII_raw_synthetic_Jan_Jun2026[Sector], L$1)</f>
        <v>0</v>
      </c>
      <c r="M119" s="23">
        <f>SUMIFS(FII_DII_raw_synthetic_Jan_Jun2026[Net_Flow_Cr], FII_DII_raw_synthetic_Jan_Jun2026[Date], $A119, FII_DII_raw_synthetic_Jan_Jun2026[Entity_Type], "FII", FII_DII_raw_synthetic_Jan_Jun2026[Sector], M$1)</f>
        <v>0</v>
      </c>
      <c r="N119" s="23">
        <f>SUMIFS(FII_DII_raw_synthetic_Jan_Jun2026[Net_Flow_Cr], FII_DII_raw_synthetic_Jan_Jun2026[Date], $A119, FII_DII_raw_synthetic_Jan_Jun2026[Entity_Type], "FII", FII_DII_raw_synthetic_Jan_Jun2026[Sector], N$1)</f>
        <v>0</v>
      </c>
      <c r="O119" s="23">
        <f>SUMIFS(FII_DII_raw_synthetic_Jan_Jun2026[Net_Flow_Cr], FII_DII_raw_synthetic_Jan_Jun2026[Date], $A119, FII_DII_raw_synthetic_Jan_Jun2026[Entity_Type], "FII", FII_DII_raw_synthetic_Jan_Jun2026[Sector], O$1)</f>
        <v>54.83</v>
      </c>
      <c r="P119" s="23">
        <f>SUMIFS(FII_DII_raw_synthetic_Jan_Jun2026[Net_Flow_Cr], FII_DII_raw_synthetic_Jan_Jun2026[Date], $A119, FII_DII_raw_synthetic_Jan_Jun2026[Entity_Type], "FII", FII_DII_raw_synthetic_Jan_Jun2026[Sector], P$1)</f>
        <v>0</v>
      </c>
      <c r="Q119" s="23" cm="1">
        <f t="array" ref="Q119">SUMPRODUCT(ABS(G119:P119))</f>
        <v>652.98</v>
      </c>
      <c r="R119" s="23" cm="1">
        <f t="array" ref="R119">LARGE(ABS(G119:P119),1)+LARGE(ABS(G119:P119),2)</f>
        <v>652.32000000000005</v>
      </c>
      <c r="S119" s="25">
        <f t="shared" si="69"/>
        <v>0.99898924928788024</v>
      </c>
      <c r="T119" s="23">
        <f>IFERROR(_xlfn.XLOOKUP(A119, 'Nifty 50 Historical Data'!A:A, 'Nifty 50 Historical Data'!G:G), "")</f>
        <v>0.98</v>
      </c>
      <c r="W119" t="str">
        <f t="shared" si="70"/>
        <v>Divergent Flow</v>
      </c>
      <c r="Y119">
        <f t="shared" si="71"/>
        <v>25</v>
      </c>
    </row>
    <row r="120" spans="1:25">
      <c r="A120" s="24">
        <v>46189</v>
      </c>
      <c r="B120" s="23">
        <f>SUMIFS(FII_DII_raw_synthetic_Jan_Jun2026[Net_Flow_Cr], FII_DII_raw_synthetic_Jan_Jun2026[Date], A120, FII_DII_raw_synthetic_Jan_Jun2026[Entity_Type], "FII")</f>
        <v>1018</v>
      </c>
      <c r="C120" s="23">
        <f>SUMIFS(FII_DII_raw_synthetic_Jan_Jun2026[Net_Flow_Cr], FII_DII_raw_synthetic_Jan_Jun2026[Date], A120, FII_DII_raw_synthetic_Jan_Jun2026[Entity_Type], "DII")</f>
        <v>-4579.9400000000005</v>
      </c>
      <c r="D120" s="23">
        <f t="shared" ref="D120:E120" si="124">AVERAGE(B116:B120)</f>
        <v>-81.889999999999958</v>
      </c>
      <c r="E120" s="23">
        <f t="shared" si="124"/>
        <v>-1624.8980000000004</v>
      </c>
      <c r="F120" s="23">
        <f t="shared" si="68"/>
        <v>-3561.9400000000005</v>
      </c>
      <c r="G120" s="23">
        <f>SUMIFS(FII_DII_raw_synthetic_Jan_Jun2026[Net_Flow_Cr], FII_DII_raw_synthetic_Jan_Jun2026[Date], $A120, FII_DII_raw_synthetic_Jan_Jun2026[Entity_Type], "FII", FII_DII_raw_synthetic_Jan_Jun2026[Sector], G$1)</f>
        <v>0</v>
      </c>
      <c r="H120" s="23">
        <f>SUMIFS(FII_DII_raw_synthetic_Jan_Jun2026[Net_Flow_Cr], FII_DII_raw_synthetic_Jan_Jun2026[Date], $A120, FII_DII_raw_synthetic_Jan_Jun2026[Entity_Type], "FII", FII_DII_raw_synthetic_Jan_Jun2026[Sector], H$1)</f>
        <v>0</v>
      </c>
      <c r="I120" s="23">
        <f>SUMIFS(FII_DII_raw_synthetic_Jan_Jun2026[Net_Flow_Cr], FII_DII_raw_synthetic_Jan_Jun2026[Date], $A120, FII_DII_raw_synthetic_Jan_Jun2026[Entity_Type], "FII", FII_DII_raw_synthetic_Jan_Jun2026[Sector], I$1)</f>
        <v>1263.6199999999999</v>
      </c>
      <c r="J120" s="23">
        <f>SUMIFS(FII_DII_raw_synthetic_Jan_Jun2026[Net_Flow_Cr], FII_DII_raw_synthetic_Jan_Jun2026[Date], $A120, FII_DII_raw_synthetic_Jan_Jun2026[Entity_Type], "FII", FII_DII_raw_synthetic_Jan_Jun2026[Sector], J$1)</f>
        <v>0</v>
      </c>
      <c r="K120" s="23">
        <f>SUMIFS(FII_DII_raw_synthetic_Jan_Jun2026[Net_Flow_Cr], FII_DII_raw_synthetic_Jan_Jun2026[Date], $A120, FII_DII_raw_synthetic_Jan_Jun2026[Entity_Type], "FII", FII_DII_raw_synthetic_Jan_Jun2026[Sector], K$1)</f>
        <v>-180.33</v>
      </c>
      <c r="L120" s="23">
        <f>SUMIFS(FII_DII_raw_synthetic_Jan_Jun2026[Net_Flow_Cr], FII_DII_raw_synthetic_Jan_Jun2026[Date], $A120, FII_DII_raw_synthetic_Jan_Jun2026[Entity_Type], "FII", FII_DII_raw_synthetic_Jan_Jun2026[Sector], L$1)</f>
        <v>-240.03</v>
      </c>
      <c r="M120" s="23">
        <f>SUMIFS(FII_DII_raw_synthetic_Jan_Jun2026[Net_Flow_Cr], FII_DII_raw_synthetic_Jan_Jun2026[Date], $A120, FII_DII_raw_synthetic_Jan_Jun2026[Entity_Type], "FII", FII_DII_raw_synthetic_Jan_Jun2026[Sector], M$1)</f>
        <v>0</v>
      </c>
      <c r="N120" s="23">
        <f>SUMIFS(FII_DII_raw_synthetic_Jan_Jun2026[Net_Flow_Cr], FII_DII_raw_synthetic_Jan_Jun2026[Date], $A120, FII_DII_raw_synthetic_Jan_Jun2026[Entity_Type], "FII", FII_DII_raw_synthetic_Jan_Jun2026[Sector], N$1)</f>
        <v>0</v>
      </c>
      <c r="O120" s="23">
        <f>SUMIFS(FII_DII_raw_synthetic_Jan_Jun2026[Net_Flow_Cr], FII_DII_raw_synthetic_Jan_Jun2026[Date], $A120, FII_DII_raw_synthetic_Jan_Jun2026[Entity_Type], "FII", FII_DII_raw_synthetic_Jan_Jun2026[Sector], O$1)</f>
        <v>0</v>
      </c>
      <c r="P120" s="23">
        <f>SUMIFS(FII_DII_raw_synthetic_Jan_Jun2026[Net_Flow_Cr], FII_DII_raw_synthetic_Jan_Jun2026[Date], $A120, FII_DII_raw_synthetic_Jan_Jun2026[Entity_Type], "FII", FII_DII_raw_synthetic_Jan_Jun2026[Sector], P$1)</f>
        <v>174.74</v>
      </c>
      <c r="Q120" s="23" cm="1">
        <f t="array" ref="Q120">SUMPRODUCT(ABS(G120:P120))</f>
        <v>1858.7199999999998</v>
      </c>
      <c r="R120" s="23" cm="1">
        <f t="array" ref="R120">LARGE(ABS(G120:P120),1)+LARGE(ABS(G120:P120),2)</f>
        <v>1503.6499999999999</v>
      </c>
      <c r="S120" s="25">
        <f t="shared" si="69"/>
        <v>0.80897068950675732</v>
      </c>
      <c r="T120" s="23">
        <f>IFERROR(_xlfn.XLOOKUP(A120, 'Nifty 50 Historical Data'!A:A, 'Nifty 50 Historical Data'!G:G), "")</f>
        <v>0.56999999999999995</v>
      </c>
      <c r="W120" t="str">
        <f t="shared" si="70"/>
        <v>Divergent Flow</v>
      </c>
      <c r="Y120">
        <f t="shared" si="71"/>
        <v>25</v>
      </c>
    </row>
    <row r="121" spans="1:25">
      <c r="A121" s="24">
        <v>46191</v>
      </c>
      <c r="B121" s="23">
        <f>SUMIFS(FII_DII_raw_synthetic_Jan_Jun2026[Net_Flow_Cr], FII_DII_raw_synthetic_Jan_Jun2026[Date], A121, FII_DII_raw_synthetic_Jan_Jun2026[Entity_Type], "FII")</f>
        <v>1487.75</v>
      </c>
      <c r="C121" s="23">
        <f>SUMIFS(FII_DII_raw_synthetic_Jan_Jun2026[Net_Flow_Cr], FII_DII_raw_synthetic_Jan_Jun2026[Date], A121, FII_DII_raw_synthetic_Jan_Jun2026[Entity_Type], "DII")</f>
        <v>77.990000000000009</v>
      </c>
      <c r="D121" s="23">
        <f t="shared" ref="D121:E121" si="125">AVERAGE(B117:B121)</f>
        <v>78.855999999999952</v>
      </c>
      <c r="E121" s="23">
        <f t="shared" si="125"/>
        <v>-1401.0940000000003</v>
      </c>
      <c r="F121" s="23">
        <f t="shared" si="68"/>
        <v>1409.76</v>
      </c>
      <c r="G121" s="23">
        <f>SUMIFS(FII_DII_raw_synthetic_Jan_Jun2026[Net_Flow_Cr], FII_DII_raw_synthetic_Jan_Jun2026[Date], $A121, FII_DII_raw_synthetic_Jan_Jun2026[Entity_Type], "FII", FII_DII_raw_synthetic_Jan_Jun2026[Sector], G$1)</f>
        <v>0</v>
      </c>
      <c r="H121" s="23">
        <f>SUMIFS(FII_DII_raw_synthetic_Jan_Jun2026[Net_Flow_Cr], FII_DII_raw_synthetic_Jan_Jun2026[Date], $A121, FII_DII_raw_synthetic_Jan_Jun2026[Entity_Type], "FII", FII_DII_raw_synthetic_Jan_Jun2026[Sector], H$1)</f>
        <v>0</v>
      </c>
      <c r="I121" s="23">
        <f>SUMIFS(FII_DII_raw_synthetic_Jan_Jun2026[Net_Flow_Cr], FII_DII_raw_synthetic_Jan_Jun2026[Date], $A121, FII_DII_raw_synthetic_Jan_Jun2026[Entity_Type], "FII", FII_DII_raw_synthetic_Jan_Jun2026[Sector], I$1)</f>
        <v>-313.27999999999997</v>
      </c>
      <c r="J121" s="23">
        <f>SUMIFS(FII_DII_raw_synthetic_Jan_Jun2026[Net_Flow_Cr], FII_DII_raw_synthetic_Jan_Jun2026[Date], $A121, FII_DII_raw_synthetic_Jan_Jun2026[Entity_Type], "FII", FII_DII_raw_synthetic_Jan_Jun2026[Sector], J$1)</f>
        <v>0</v>
      </c>
      <c r="K121" s="23">
        <f>SUMIFS(FII_DII_raw_synthetic_Jan_Jun2026[Net_Flow_Cr], FII_DII_raw_synthetic_Jan_Jun2026[Date], $A121, FII_DII_raw_synthetic_Jan_Jun2026[Entity_Type], "FII", FII_DII_raw_synthetic_Jan_Jun2026[Sector], K$1)</f>
        <v>293.72000000000003</v>
      </c>
      <c r="L121" s="23">
        <f>SUMIFS(FII_DII_raw_synthetic_Jan_Jun2026[Net_Flow_Cr], FII_DII_raw_synthetic_Jan_Jun2026[Date], $A121, FII_DII_raw_synthetic_Jan_Jun2026[Entity_Type], "FII", FII_DII_raw_synthetic_Jan_Jun2026[Sector], L$1)</f>
        <v>0</v>
      </c>
      <c r="M121" s="23">
        <f>SUMIFS(FII_DII_raw_synthetic_Jan_Jun2026[Net_Flow_Cr], FII_DII_raw_synthetic_Jan_Jun2026[Date], $A121, FII_DII_raw_synthetic_Jan_Jun2026[Entity_Type], "FII", FII_DII_raw_synthetic_Jan_Jun2026[Sector], M$1)</f>
        <v>815.82</v>
      </c>
      <c r="N121" s="23">
        <f>SUMIFS(FII_DII_raw_synthetic_Jan_Jun2026[Net_Flow_Cr], FII_DII_raw_synthetic_Jan_Jun2026[Date], $A121, FII_DII_raw_synthetic_Jan_Jun2026[Entity_Type], "FII", FII_DII_raw_synthetic_Jan_Jun2026[Sector], N$1)</f>
        <v>0</v>
      </c>
      <c r="O121" s="23">
        <f>SUMIFS(FII_DII_raw_synthetic_Jan_Jun2026[Net_Flow_Cr], FII_DII_raw_synthetic_Jan_Jun2026[Date], $A121, FII_DII_raw_synthetic_Jan_Jun2026[Entity_Type], "FII", FII_DII_raw_synthetic_Jan_Jun2026[Sector], O$1)</f>
        <v>691.49</v>
      </c>
      <c r="P121" s="23">
        <f>SUMIFS(FII_DII_raw_synthetic_Jan_Jun2026[Net_Flow_Cr], FII_DII_raw_synthetic_Jan_Jun2026[Date], $A121, FII_DII_raw_synthetic_Jan_Jun2026[Entity_Type], "FII", FII_DII_raw_synthetic_Jan_Jun2026[Sector], P$1)</f>
        <v>0</v>
      </c>
      <c r="Q121" s="23" cm="1">
        <f t="array" ref="Q121">SUMPRODUCT(ABS(G121:P121))</f>
        <v>2114.3100000000004</v>
      </c>
      <c r="R121" s="23" cm="1">
        <f t="array" ref="R121">LARGE(ABS(G121:P121),1)+LARGE(ABS(G121:P121),2)</f>
        <v>1507.31</v>
      </c>
      <c r="S121" s="25">
        <f t="shared" si="69"/>
        <v>0.71290870307570775</v>
      </c>
      <c r="T121" s="23">
        <f>IFERROR(_xlfn.XLOOKUP(A121, 'Nifty 50 Historical Data'!A:A, 'Nifty 50 Historical Data'!G:G), "")</f>
        <v>0.34</v>
      </c>
      <c r="W121" t="str">
        <f t="shared" si="70"/>
        <v>Aligned Flow</v>
      </c>
      <c r="Y121">
        <f t="shared" si="71"/>
        <v>25</v>
      </c>
    </row>
    <row r="122" spans="1:25">
      <c r="A122" s="24">
        <v>46192</v>
      </c>
      <c r="B122" s="23">
        <f>SUMIFS(FII_DII_raw_synthetic_Jan_Jun2026[Net_Flow_Cr], FII_DII_raw_synthetic_Jan_Jun2026[Date], A122, FII_DII_raw_synthetic_Jan_Jun2026[Entity_Type], "FII")</f>
        <v>-3379.46</v>
      </c>
      <c r="C122" s="23">
        <f>SUMIFS(FII_DII_raw_synthetic_Jan_Jun2026[Net_Flow_Cr], FII_DII_raw_synthetic_Jan_Jun2026[Date], A122, FII_DII_raw_synthetic_Jan_Jun2026[Entity_Type], "DII")</f>
        <v>-3787.3</v>
      </c>
      <c r="D122" s="23">
        <f t="shared" ref="D122:E122" si="126">AVERAGE(B118:B122)</f>
        <v>-509.11199999999997</v>
      </c>
      <c r="E122" s="23">
        <f t="shared" si="126"/>
        <v>-2364.232</v>
      </c>
      <c r="F122" s="23">
        <f t="shared" si="68"/>
        <v>-407.84000000000015</v>
      </c>
      <c r="G122" s="23">
        <f>SUMIFS(FII_DII_raw_synthetic_Jan_Jun2026[Net_Flow_Cr], FII_DII_raw_synthetic_Jan_Jun2026[Date], $A122, FII_DII_raw_synthetic_Jan_Jun2026[Entity_Type], "FII", FII_DII_raw_synthetic_Jan_Jun2026[Sector], G$1)</f>
        <v>-1173.75</v>
      </c>
      <c r="H122" s="23">
        <f>SUMIFS(FII_DII_raw_synthetic_Jan_Jun2026[Net_Flow_Cr], FII_DII_raw_synthetic_Jan_Jun2026[Date], $A122, FII_DII_raw_synthetic_Jan_Jun2026[Entity_Type], "FII", FII_DII_raw_synthetic_Jan_Jun2026[Sector], H$1)</f>
        <v>0</v>
      </c>
      <c r="I122" s="23">
        <f>SUMIFS(FII_DII_raw_synthetic_Jan_Jun2026[Net_Flow_Cr], FII_DII_raw_synthetic_Jan_Jun2026[Date], $A122, FII_DII_raw_synthetic_Jan_Jun2026[Entity_Type], "FII", FII_DII_raw_synthetic_Jan_Jun2026[Sector], I$1)</f>
        <v>-1097.4100000000001</v>
      </c>
      <c r="J122" s="23">
        <f>SUMIFS(FII_DII_raw_synthetic_Jan_Jun2026[Net_Flow_Cr], FII_DII_raw_synthetic_Jan_Jun2026[Date], $A122, FII_DII_raw_synthetic_Jan_Jun2026[Entity_Type], "FII", FII_DII_raw_synthetic_Jan_Jun2026[Sector], J$1)</f>
        <v>0</v>
      </c>
      <c r="K122" s="23">
        <f>SUMIFS(FII_DII_raw_synthetic_Jan_Jun2026[Net_Flow_Cr], FII_DII_raw_synthetic_Jan_Jun2026[Date], $A122, FII_DII_raw_synthetic_Jan_Jun2026[Entity_Type], "FII", FII_DII_raw_synthetic_Jan_Jun2026[Sector], K$1)</f>
        <v>0</v>
      </c>
      <c r="L122" s="23">
        <f>SUMIFS(FII_DII_raw_synthetic_Jan_Jun2026[Net_Flow_Cr], FII_DII_raw_synthetic_Jan_Jun2026[Date], $A122, FII_DII_raw_synthetic_Jan_Jun2026[Entity_Type], "FII", FII_DII_raw_synthetic_Jan_Jun2026[Sector], L$1)</f>
        <v>0</v>
      </c>
      <c r="M122" s="23">
        <f>SUMIFS(FII_DII_raw_synthetic_Jan_Jun2026[Net_Flow_Cr], FII_DII_raw_synthetic_Jan_Jun2026[Date], $A122, FII_DII_raw_synthetic_Jan_Jun2026[Entity_Type], "FII", FII_DII_raw_synthetic_Jan_Jun2026[Sector], M$1)</f>
        <v>-1164.18</v>
      </c>
      <c r="N122" s="23">
        <f>SUMIFS(FII_DII_raw_synthetic_Jan_Jun2026[Net_Flow_Cr], FII_DII_raw_synthetic_Jan_Jun2026[Date], $A122, FII_DII_raw_synthetic_Jan_Jun2026[Entity_Type], "FII", FII_DII_raw_synthetic_Jan_Jun2026[Sector], N$1)</f>
        <v>0</v>
      </c>
      <c r="O122" s="23">
        <f>SUMIFS(FII_DII_raw_synthetic_Jan_Jun2026[Net_Flow_Cr], FII_DII_raw_synthetic_Jan_Jun2026[Date], $A122, FII_DII_raw_synthetic_Jan_Jun2026[Entity_Type], "FII", FII_DII_raw_synthetic_Jan_Jun2026[Sector], O$1)</f>
        <v>0</v>
      </c>
      <c r="P122" s="23">
        <f>SUMIFS(FII_DII_raw_synthetic_Jan_Jun2026[Net_Flow_Cr], FII_DII_raw_synthetic_Jan_Jun2026[Date], $A122, FII_DII_raw_synthetic_Jan_Jun2026[Entity_Type], "FII", FII_DII_raw_synthetic_Jan_Jun2026[Sector], P$1)</f>
        <v>55.88</v>
      </c>
      <c r="Q122" s="23" cm="1">
        <f t="array" ref="Q122">SUMPRODUCT(ABS(G122:P122))</f>
        <v>3491.2200000000003</v>
      </c>
      <c r="R122" s="23" cm="1">
        <f t="array" ref="R122">LARGE(ABS(G122:P122),1)+LARGE(ABS(G122:P122),2)</f>
        <v>2337.9300000000003</v>
      </c>
      <c r="S122" s="25">
        <f t="shared" si="69"/>
        <v>0.6696598896660767</v>
      </c>
      <c r="T122" s="23">
        <f>IFERROR(_xlfn.XLOOKUP(A122, 'Nifty 50 Historical Data'!A:A, 'Nifty 50 Historical Data'!G:G), "")</f>
        <v>-0.64</v>
      </c>
      <c r="W122" t="str">
        <f t="shared" si="70"/>
        <v>Strong FII Selling</v>
      </c>
      <c r="Y122">
        <f t="shared" si="71"/>
        <v>25</v>
      </c>
    </row>
    <row r="123" spans="1:25">
      <c r="A123" s="24">
        <v>46195</v>
      </c>
      <c r="B123" s="23">
        <f>SUMIFS(FII_DII_raw_synthetic_Jan_Jun2026[Net_Flow_Cr], FII_DII_raw_synthetic_Jan_Jun2026[Date], A123, FII_DII_raw_synthetic_Jan_Jun2026[Entity_Type], "FII")</f>
        <v>-1592.6</v>
      </c>
      <c r="C123" s="23">
        <f>SUMIFS(FII_DII_raw_synthetic_Jan_Jun2026[Net_Flow_Cr], FII_DII_raw_synthetic_Jan_Jun2026[Date], A123, FII_DII_raw_synthetic_Jan_Jun2026[Entity_Type], "DII")</f>
        <v>-603.71</v>
      </c>
      <c r="D123" s="23">
        <f t="shared" ref="D123:E123" si="127">AVERAGE(B119:B123)</f>
        <v>-601.92600000000004</v>
      </c>
      <c r="E123" s="23">
        <f t="shared" si="127"/>
        <v>-1490.3220000000001</v>
      </c>
      <c r="F123" s="23">
        <f t="shared" si="68"/>
        <v>988.88999999999987</v>
      </c>
      <c r="G123" s="23">
        <f>SUMIFS(FII_DII_raw_synthetic_Jan_Jun2026[Net_Flow_Cr], FII_DII_raw_synthetic_Jan_Jun2026[Date], $A123, FII_DII_raw_synthetic_Jan_Jun2026[Entity_Type], "FII", FII_DII_raw_synthetic_Jan_Jun2026[Sector], G$1)</f>
        <v>152.47</v>
      </c>
      <c r="H123" s="23">
        <f>SUMIFS(FII_DII_raw_synthetic_Jan_Jun2026[Net_Flow_Cr], FII_DII_raw_synthetic_Jan_Jun2026[Date], $A123, FII_DII_raw_synthetic_Jan_Jun2026[Entity_Type], "FII", FII_DII_raw_synthetic_Jan_Jun2026[Sector], H$1)</f>
        <v>0</v>
      </c>
      <c r="I123" s="23">
        <f>SUMIFS(FII_DII_raw_synthetic_Jan_Jun2026[Net_Flow_Cr], FII_DII_raw_synthetic_Jan_Jun2026[Date], $A123, FII_DII_raw_synthetic_Jan_Jun2026[Entity_Type], "FII", FII_DII_raw_synthetic_Jan_Jun2026[Sector], I$1)</f>
        <v>-1057.27</v>
      </c>
      <c r="J123" s="23">
        <f>SUMIFS(FII_DII_raw_synthetic_Jan_Jun2026[Net_Flow_Cr], FII_DII_raw_synthetic_Jan_Jun2026[Date], $A123, FII_DII_raw_synthetic_Jan_Jun2026[Entity_Type], "FII", FII_DII_raw_synthetic_Jan_Jun2026[Sector], J$1)</f>
        <v>-687.8</v>
      </c>
      <c r="K123" s="23">
        <f>SUMIFS(FII_DII_raw_synthetic_Jan_Jun2026[Net_Flow_Cr], FII_DII_raw_synthetic_Jan_Jun2026[Date], $A123, FII_DII_raw_synthetic_Jan_Jun2026[Entity_Type], "FII", FII_DII_raw_synthetic_Jan_Jun2026[Sector], K$1)</f>
        <v>0</v>
      </c>
      <c r="L123" s="23">
        <f>SUMIFS(FII_DII_raw_synthetic_Jan_Jun2026[Net_Flow_Cr], FII_DII_raw_synthetic_Jan_Jun2026[Date], $A123, FII_DII_raw_synthetic_Jan_Jun2026[Entity_Type], "FII", FII_DII_raw_synthetic_Jan_Jun2026[Sector], L$1)</f>
        <v>0</v>
      </c>
      <c r="M123" s="23">
        <f>SUMIFS(FII_DII_raw_synthetic_Jan_Jun2026[Net_Flow_Cr], FII_DII_raw_synthetic_Jan_Jun2026[Date], $A123, FII_DII_raw_synthetic_Jan_Jun2026[Entity_Type], "FII", FII_DII_raw_synthetic_Jan_Jun2026[Sector], M$1)</f>
        <v>0</v>
      </c>
      <c r="N123" s="23">
        <f>SUMIFS(FII_DII_raw_synthetic_Jan_Jun2026[Net_Flow_Cr], FII_DII_raw_synthetic_Jan_Jun2026[Date], $A123, FII_DII_raw_synthetic_Jan_Jun2026[Entity_Type], "FII", FII_DII_raw_synthetic_Jan_Jun2026[Sector], N$1)</f>
        <v>0</v>
      </c>
      <c r="O123" s="23">
        <f>SUMIFS(FII_DII_raw_synthetic_Jan_Jun2026[Net_Flow_Cr], FII_DII_raw_synthetic_Jan_Jun2026[Date], $A123, FII_DII_raw_synthetic_Jan_Jun2026[Entity_Type], "FII", FII_DII_raw_synthetic_Jan_Jun2026[Sector], O$1)</f>
        <v>0</v>
      </c>
      <c r="P123" s="23">
        <f>SUMIFS(FII_DII_raw_synthetic_Jan_Jun2026[Net_Flow_Cr], FII_DII_raw_synthetic_Jan_Jun2026[Date], $A123, FII_DII_raw_synthetic_Jan_Jun2026[Entity_Type], "FII", FII_DII_raw_synthetic_Jan_Jun2026[Sector], P$1)</f>
        <v>0</v>
      </c>
      <c r="Q123" s="23" cm="1">
        <f t="array" ref="Q123">SUMPRODUCT(ABS(G123:P123))</f>
        <v>1897.54</v>
      </c>
      <c r="R123" s="23" cm="1">
        <f t="array" ref="R123">LARGE(ABS(G123:P123),1)+LARGE(ABS(G123:P123),2)</f>
        <v>1745.07</v>
      </c>
      <c r="S123" s="25">
        <f t="shared" si="69"/>
        <v>0.91964859765802032</v>
      </c>
      <c r="T123" s="23">
        <f>IFERROR(_xlfn.XLOOKUP(A123, 'Nifty 50 Historical Data'!A:A, 'Nifty 50 Historical Data'!G:G), "")</f>
        <v>0.37</v>
      </c>
      <c r="W123" t="str">
        <f t="shared" si="70"/>
        <v>Aligned Flow</v>
      </c>
      <c r="Y123">
        <f t="shared" si="71"/>
        <v>26</v>
      </c>
    </row>
    <row r="124" spans="1:25">
      <c r="A124" s="24">
        <v>46196</v>
      </c>
      <c r="B124" s="23">
        <f>SUMIFS(FII_DII_raw_synthetic_Jan_Jun2026[Net_Flow_Cr], FII_DII_raw_synthetic_Jan_Jun2026[Date], A124, FII_DII_raw_synthetic_Jan_Jun2026[Entity_Type], "FII")</f>
        <v>183.37000000000012</v>
      </c>
      <c r="C124" s="23">
        <f>SUMIFS(FII_DII_raw_synthetic_Jan_Jun2026[Net_Flow_Cr], FII_DII_raw_synthetic_Jan_Jun2026[Date], A124, FII_DII_raw_synthetic_Jan_Jun2026[Entity_Type], "DII")</f>
        <v>-1032.2999999999997</v>
      </c>
      <c r="D124" s="23">
        <f t="shared" ref="D124:E124" si="128">AVERAGE(B120:B124)</f>
        <v>-456.58799999999991</v>
      </c>
      <c r="E124" s="23">
        <f t="shared" si="128"/>
        <v>-1985.0519999999997</v>
      </c>
      <c r="F124" s="23">
        <f t="shared" si="68"/>
        <v>-848.92999999999961</v>
      </c>
      <c r="G124" s="23">
        <f>SUMIFS(FII_DII_raw_synthetic_Jan_Jun2026[Net_Flow_Cr], FII_DII_raw_synthetic_Jan_Jun2026[Date], $A124, FII_DII_raw_synthetic_Jan_Jun2026[Entity_Type], "FII", FII_DII_raw_synthetic_Jan_Jun2026[Sector], G$1)</f>
        <v>0</v>
      </c>
      <c r="H124" s="23">
        <f>SUMIFS(FII_DII_raw_synthetic_Jan_Jun2026[Net_Flow_Cr], FII_DII_raw_synthetic_Jan_Jun2026[Date], $A124, FII_DII_raw_synthetic_Jan_Jun2026[Entity_Type], "FII", FII_DII_raw_synthetic_Jan_Jun2026[Sector], H$1)</f>
        <v>-1014.51</v>
      </c>
      <c r="I124" s="23">
        <f>SUMIFS(FII_DII_raw_synthetic_Jan_Jun2026[Net_Flow_Cr], FII_DII_raw_synthetic_Jan_Jun2026[Date], $A124, FII_DII_raw_synthetic_Jan_Jun2026[Entity_Type], "FII", FII_DII_raw_synthetic_Jan_Jun2026[Sector], I$1)</f>
        <v>0</v>
      </c>
      <c r="J124" s="23">
        <f>SUMIFS(FII_DII_raw_synthetic_Jan_Jun2026[Net_Flow_Cr], FII_DII_raw_synthetic_Jan_Jun2026[Date], $A124, FII_DII_raw_synthetic_Jan_Jun2026[Entity_Type], "FII", FII_DII_raw_synthetic_Jan_Jun2026[Sector], J$1)</f>
        <v>0</v>
      </c>
      <c r="K124" s="23">
        <f>SUMIFS(FII_DII_raw_synthetic_Jan_Jun2026[Net_Flow_Cr], FII_DII_raw_synthetic_Jan_Jun2026[Date], $A124, FII_DII_raw_synthetic_Jan_Jun2026[Entity_Type], "FII", FII_DII_raw_synthetic_Jan_Jun2026[Sector], K$1)</f>
        <v>0</v>
      </c>
      <c r="L124" s="23">
        <f>SUMIFS(FII_DII_raw_synthetic_Jan_Jun2026[Net_Flow_Cr], FII_DII_raw_synthetic_Jan_Jun2026[Date], $A124, FII_DII_raw_synthetic_Jan_Jun2026[Entity_Type], "FII", FII_DII_raw_synthetic_Jan_Jun2026[Sector], L$1)</f>
        <v>0</v>
      </c>
      <c r="M124" s="23">
        <f>SUMIFS(FII_DII_raw_synthetic_Jan_Jun2026[Net_Flow_Cr], FII_DII_raw_synthetic_Jan_Jun2026[Date], $A124, FII_DII_raw_synthetic_Jan_Jun2026[Entity_Type], "FII", FII_DII_raw_synthetic_Jan_Jun2026[Sector], M$1)</f>
        <v>0</v>
      </c>
      <c r="N124" s="23">
        <f>SUMIFS(FII_DII_raw_synthetic_Jan_Jun2026[Net_Flow_Cr], FII_DII_raw_synthetic_Jan_Jun2026[Date], $A124, FII_DII_raw_synthetic_Jan_Jun2026[Entity_Type], "FII", FII_DII_raw_synthetic_Jan_Jun2026[Sector], N$1)</f>
        <v>283.17</v>
      </c>
      <c r="O124" s="23">
        <f>SUMIFS(FII_DII_raw_synthetic_Jan_Jun2026[Net_Flow_Cr], FII_DII_raw_synthetic_Jan_Jun2026[Date], $A124, FII_DII_raw_synthetic_Jan_Jun2026[Entity_Type], "FII", FII_DII_raw_synthetic_Jan_Jun2026[Sector], O$1)</f>
        <v>0</v>
      </c>
      <c r="P124" s="23">
        <f>SUMIFS(FII_DII_raw_synthetic_Jan_Jun2026[Net_Flow_Cr], FII_DII_raw_synthetic_Jan_Jun2026[Date], $A124, FII_DII_raw_synthetic_Jan_Jun2026[Entity_Type], "FII", FII_DII_raw_synthetic_Jan_Jun2026[Sector], P$1)</f>
        <v>914.71</v>
      </c>
      <c r="Q124" s="23" cm="1">
        <f t="array" ref="Q124">SUMPRODUCT(ABS(G124:P124))</f>
        <v>2212.3900000000003</v>
      </c>
      <c r="R124" s="23" cm="1">
        <f t="array" ref="R124">LARGE(ABS(G124:P124),1)+LARGE(ABS(G124:P124),2)</f>
        <v>1929.22</v>
      </c>
      <c r="S124" s="25">
        <f t="shared" si="69"/>
        <v>0.87200719583798503</v>
      </c>
      <c r="T124" s="23">
        <f>IFERROR(_xlfn.XLOOKUP(A124, 'Nifty 50 Historical Data'!A:A, 'Nifty 50 Historical Data'!G:G), "")</f>
        <v>-1.1599999999999999</v>
      </c>
      <c r="W124" t="str">
        <f t="shared" si="70"/>
        <v>Divergent Flow</v>
      </c>
      <c r="Y124">
        <f t="shared" si="71"/>
        <v>26</v>
      </c>
    </row>
    <row r="125" spans="1:25">
      <c r="A125" s="24">
        <v>46197</v>
      </c>
      <c r="B125" s="23">
        <f>SUMIFS(FII_DII_raw_synthetic_Jan_Jun2026[Net_Flow_Cr], FII_DII_raw_synthetic_Jan_Jun2026[Date], A125, FII_DII_raw_synthetic_Jan_Jun2026[Entity_Type], "FII")</f>
        <v>-407.43999999999994</v>
      </c>
      <c r="C125" s="23">
        <f>SUMIFS(FII_DII_raw_synthetic_Jan_Jun2026[Net_Flow_Cr], FII_DII_raw_synthetic_Jan_Jun2026[Date], A125, FII_DII_raw_synthetic_Jan_Jun2026[Entity_Type], "DII")</f>
        <v>-1939.07</v>
      </c>
      <c r="D125" s="23">
        <f t="shared" ref="D125:E125" si="129">AVERAGE(B121:B125)</f>
        <v>-741.67599999999993</v>
      </c>
      <c r="E125" s="23">
        <f t="shared" si="129"/>
        <v>-1456.8779999999999</v>
      </c>
      <c r="F125" s="23">
        <f t="shared" si="68"/>
        <v>-1531.63</v>
      </c>
      <c r="G125" s="23">
        <f>SUMIFS(FII_DII_raw_synthetic_Jan_Jun2026[Net_Flow_Cr], FII_DII_raw_synthetic_Jan_Jun2026[Date], $A125, FII_DII_raw_synthetic_Jan_Jun2026[Entity_Type], "FII", FII_DII_raw_synthetic_Jan_Jun2026[Sector], G$1)</f>
        <v>-15.55</v>
      </c>
      <c r="H125" s="23">
        <f>SUMIFS(FII_DII_raw_synthetic_Jan_Jun2026[Net_Flow_Cr], FII_DII_raw_synthetic_Jan_Jun2026[Date], $A125, FII_DII_raw_synthetic_Jan_Jun2026[Entity_Type], "FII", FII_DII_raw_synthetic_Jan_Jun2026[Sector], H$1)</f>
        <v>0</v>
      </c>
      <c r="I125" s="23">
        <f>SUMIFS(FII_DII_raw_synthetic_Jan_Jun2026[Net_Flow_Cr], FII_DII_raw_synthetic_Jan_Jun2026[Date], $A125, FII_DII_raw_synthetic_Jan_Jun2026[Entity_Type], "FII", FII_DII_raw_synthetic_Jan_Jun2026[Sector], I$1)</f>
        <v>0</v>
      </c>
      <c r="J125" s="23">
        <f>SUMIFS(FII_DII_raw_synthetic_Jan_Jun2026[Net_Flow_Cr], FII_DII_raw_synthetic_Jan_Jun2026[Date], $A125, FII_DII_raw_synthetic_Jan_Jun2026[Entity_Type], "FII", FII_DII_raw_synthetic_Jan_Jun2026[Sector], J$1)</f>
        <v>0</v>
      </c>
      <c r="K125" s="23">
        <f>SUMIFS(FII_DII_raw_synthetic_Jan_Jun2026[Net_Flow_Cr], FII_DII_raw_synthetic_Jan_Jun2026[Date], $A125, FII_DII_raw_synthetic_Jan_Jun2026[Entity_Type], "FII", FII_DII_raw_synthetic_Jan_Jun2026[Sector], K$1)</f>
        <v>388.45000000000005</v>
      </c>
      <c r="L125" s="23">
        <f>SUMIFS(FII_DII_raw_synthetic_Jan_Jun2026[Net_Flow_Cr], FII_DII_raw_synthetic_Jan_Jun2026[Date], $A125, FII_DII_raw_synthetic_Jan_Jun2026[Entity_Type], "FII", FII_DII_raw_synthetic_Jan_Jun2026[Sector], L$1)</f>
        <v>181.41</v>
      </c>
      <c r="M125" s="23">
        <f>SUMIFS(FII_DII_raw_synthetic_Jan_Jun2026[Net_Flow_Cr], FII_DII_raw_synthetic_Jan_Jun2026[Date], $A125, FII_DII_raw_synthetic_Jan_Jun2026[Entity_Type], "FII", FII_DII_raw_synthetic_Jan_Jun2026[Sector], M$1)</f>
        <v>0</v>
      </c>
      <c r="N125" s="23">
        <f>SUMIFS(FII_DII_raw_synthetic_Jan_Jun2026[Net_Flow_Cr], FII_DII_raw_synthetic_Jan_Jun2026[Date], $A125, FII_DII_raw_synthetic_Jan_Jun2026[Entity_Type], "FII", FII_DII_raw_synthetic_Jan_Jun2026[Sector], N$1)</f>
        <v>0</v>
      </c>
      <c r="O125" s="23">
        <f>SUMIFS(FII_DII_raw_synthetic_Jan_Jun2026[Net_Flow_Cr], FII_DII_raw_synthetic_Jan_Jun2026[Date], $A125, FII_DII_raw_synthetic_Jan_Jun2026[Entity_Type], "FII", FII_DII_raw_synthetic_Jan_Jun2026[Sector], O$1)</f>
        <v>0</v>
      </c>
      <c r="P125" s="23">
        <f>SUMIFS(FII_DII_raw_synthetic_Jan_Jun2026[Net_Flow_Cr], FII_DII_raw_synthetic_Jan_Jun2026[Date], $A125, FII_DII_raw_synthetic_Jan_Jun2026[Entity_Type], "FII", FII_DII_raw_synthetic_Jan_Jun2026[Sector], P$1)</f>
        <v>-961.75</v>
      </c>
      <c r="Q125" s="23" cm="1">
        <f t="array" ref="Q125">SUMPRODUCT(ABS(G125:P125))</f>
        <v>1547.16</v>
      </c>
      <c r="R125" s="23" cm="1">
        <f t="array" ref="R125">LARGE(ABS(G125:P125),1)+LARGE(ABS(G125:P125),2)</f>
        <v>1350.2</v>
      </c>
      <c r="S125" s="25">
        <f t="shared" si="69"/>
        <v>0.8726957780707878</v>
      </c>
      <c r="T125" s="23">
        <f>IFERROR(_xlfn.XLOOKUP(A125, 'Nifty 50 Historical Data'!A:A, 'Nifty 50 Historical Data'!G:G), "")</f>
        <v>0.83</v>
      </c>
      <c r="W125" t="str">
        <f t="shared" si="70"/>
        <v>Aligned Flow</v>
      </c>
      <c r="Y125">
        <f t="shared" si="71"/>
        <v>26</v>
      </c>
    </row>
    <row r="126" spans="1:25">
      <c r="A126" s="24">
        <v>46198</v>
      </c>
      <c r="B126" s="23">
        <f>SUMIFS(FII_DII_raw_synthetic_Jan_Jun2026[Net_Flow_Cr], FII_DII_raw_synthetic_Jan_Jun2026[Date], A126, FII_DII_raw_synthetic_Jan_Jun2026[Entity_Type], "FII")</f>
        <v>1592.5500000000002</v>
      </c>
      <c r="C126" s="23">
        <f>SUMIFS(FII_DII_raw_synthetic_Jan_Jun2026[Net_Flow_Cr], FII_DII_raw_synthetic_Jan_Jun2026[Date], A126, FII_DII_raw_synthetic_Jan_Jun2026[Entity_Type], "DII")</f>
        <v>-1302.73</v>
      </c>
      <c r="D126" s="23">
        <f t="shared" ref="D126:E126" si="130">AVERAGE(B122:B126)</f>
        <v>-720.71599999999978</v>
      </c>
      <c r="E126" s="23">
        <f t="shared" si="130"/>
        <v>-1733.0219999999997</v>
      </c>
      <c r="F126" s="23">
        <f t="shared" si="68"/>
        <v>289.82000000000016</v>
      </c>
      <c r="G126" s="23">
        <f>SUMIFS(FII_DII_raw_synthetic_Jan_Jun2026[Net_Flow_Cr], FII_DII_raw_synthetic_Jan_Jun2026[Date], $A126, FII_DII_raw_synthetic_Jan_Jun2026[Entity_Type], "FII", FII_DII_raw_synthetic_Jan_Jun2026[Sector], G$1)</f>
        <v>0</v>
      </c>
      <c r="H126" s="23">
        <f>SUMIFS(FII_DII_raw_synthetic_Jan_Jun2026[Net_Flow_Cr], FII_DII_raw_synthetic_Jan_Jun2026[Date], $A126, FII_DII_raw_synthetic_Jan_Jun2026[Entity_Type], "FII", FII_DII_raw_synthetic_Jan_Jun2026[Sector], H$1)</f>
        <v>0</v>
      </c>
      <c r="I126" s="23">
        <f>SUMIFS(FII_DII_raw_synthetic_Jan_Jun2026[Net_Flow_Cr], FII_DII_raw_synthetic_Jan_Jun2026[Date], $A126, FII_DII_raw_synthetic_Jan_Jun2026[Entity_Type], "FII", FII_DII_raw_synthetic_Jan_Jun2026[Sector], I$1)</f>
        <v>599.49</v>
      </c>
      <c r="J126" s="23">
        <f>SUMIFS(FII_DII_raw_synthetic_Jan_Jun2026[Net_Flow_Cr], FII_DII_raw_synthetic_Jan_Jun2026[Date], $A126, FII_DII_raw_synthetic_Jan_Jun2026[Entity_Type], "FII", FII_DII_raw_synthetic_Jan_Jun2026[Sector], J$1)</f>
        <v>0</v>
      </c>
      <c r="K126" s="23">
        <f>SUMIFS(FII_DII_raw_synthetic_Jan_Jun2026[Net_Flow_Cr], FII_DII_raw_synthetic_Jan_Jun2026[Date], $A126, FII_DII_raw_synthetic_Jan_Jun2026[Entity_Type], "FII", FII_DII_raw_synthetic_Jan_Jun2026[Sector], K$1)</f>
        <v>-650.92999999999995</v>
      </c>
      <c r="L126" s="23">
        <f>SUMIFS(FII_DII_raw_synthetic_Jan_Jun2026[Net_Flow_Cr], FII_DII_raw_synthetic_Jan_Jun2026[Date], $A126, FII_DII_raw_synthetic_Jan_Jun2026[Entity_Type], "FII", FII_DII_raw_synthetic_Jan_Jun2026[Sector], L$1)</f>
        <v>0</v>
      </c>
      <c r="M126" s="23">
        <f>SUMIFS(FII_DII_raw_synthetic_Jan_Jun2026[Net_Flow_Cr], FII_DII_raw_synthetic_Jan_Jun2026[Date], $A126, FII_DII_raw_synthetic_Jan_Jun2026[Entity_Type], "FII", FII_DII_raw_synthetic_Jan_Jun2026[Sector], M$1)</f>
        <v>0</v>
      </c>
      <c r="N126" s="23">
        <f>SUMIFS(FII_DII_raw_synthetic_Jan_Jun2026[Net_Flow_Cr], FII_DII_raw_synthetic_Jan_Jun2026[Date], $A126, FII_DII_raw_synthetic_Jan_Jun2026[Entity_Type], "FII", FII_DII_raw_synthetic_Jan_Jun2026[Sector], N$1)</f>
        <v>1643.99</v>
      </c>
      <c r="O126" s="23">
        <f>SUMIFS(FII_DII_raw_synthetic_Jan_Jun2026[Net_Flow_Cr], FII_DII_raw_synthetic_Jan_Jun2026[Date], $A126, FII_DII_raw_synthetic_Jan_Jun2026[Entity_Type], "FII", FII_DII_raw_synthetic_Jan_Jun2026[Sector], O$1)</f>
        <v>0</v>
      </c>
      <c r="P126" s="23">
        <f>SUMIFS(FII_DII_raw_synthetic_Jan_Jun2026[Net_Flow_Cr], FII_DII_raw_synthetic_Jan_Jun2026[Date], $A126, FII_DII_raw_synthetic_Jan_Jun2026[Entity_Type], "FII", FII_DII_raw_synthetic_Jan_Jun2026[Sector], P$1)</f>
        <v>0</v>
      </c>
      <c r="Q126" s="23" cm="1">
        <f t="array" ref="Q126">SUMPRODUCT(ABS(G126:P126))</f>
        <v>2894.41</v>
      </c>
      <c r="R126" s="23" cm="1">
        <f t="array" ref="R126">LARGE(ABS(G126:P126),1)+LARGE(ABS(G126:P126),2)</f>
        <v>2294.92</v>
      </c>
      <c r="S126" s="25">
        <f t="shared" si="69"/>
        <v>0.79288006882231621</v>
      </c>
      <c r="T126" s="23">
        <f>IFERROR(_xlfn.XLOOKUP(A126, 'Nifty 50 Historical Data'!A:A, 'Nifty 50 Historical Data'!G:G), "")</f>
        <v>0.14000000000000001</v>
      </c>
      <c r="W126" t="str">
        <f t="shared" si="70"/>
        <v>Divergent Flow</v>
      </c>
      <c r="Y126">
        <f t="shared" si="71"/>
        <v>26</v>
      </c>
    </row>
    <row r="127" spans="1:25">
      <c r="A127" s="24">
        <v>46199</v>
      </c>
      <c r="B127" s="23">
        <f>SUMIFS(FII_DII_raw_synthetic_Jan_Jun2026[Net_Flow_Cr], FII_DII_raw_synthetic_Jan_Jun2026[Date], A127, FII_DII_raw_synthetic_Jan_Jun2026[Entity_Type], "FII")</f>
        <v>-813.79</v>
      </c>
      <c r="C127" s="23">
        <f>SUMIFS(FII_DII_raw_synthetic_Jan_Jun2026[Net_Flow_Cr], FII_DII_raw_synthetic_Jan_Jun2026[Date], A127, FII_DII_raw_synthetic_Jan_Jun2026[Entity_Type], "DII")</f>
        <v>605.63</v>
      </c>
      <c r="D127" s="23">
        <f t="shared" ref="D127:E127" si="131">AVERAGE(B123:B127)</f>
        <v>-207.58199999999988</v>
      </c>
      <c r="E127" s="23">
        <f t="shared" si="131"/>
        <v>-854.43599999999992</v>
      </c>
      <c r="F127" s="23">
        <f t="shared" si="68"/>
        <v>208.15999999999997</v>
      </c>
      <c r="G127" s="23">
        <f>SUMIFS(FII_DII_raw_synthetic_Jan_Jun2026[Net_Flow_Cr], FII_DII_raw_synthetic_Jan_Jun2026[Date], $A127, FII_DII_raw_synthetic_Jan_Jun2026[Entity_Type], "FII", FII_DII_raw_synthetic_Jan_Jun2026[Sector], G$1)</f>
        <v>0</v>
      </c>
      <c r="H127" s="23">
        <f>SUMIFS(FII_DII_raw_synthetic_Jan_Jun2026[Net_Flow_Cr], FII_DII_raw_synthetic_Jan_Jun2026[Date], $A127, FII_DII_raw_synthetic_Jan_Jun2026[Entity_Type], "FII", FII_DII_raw_synthetic_Jan_Jun2026[Sector], H$1)</f>
        <v>0</v>
      </c>
      <c r="I127" s="23">
        <f>SUMIFS(FII_DII_raw_synthetic_Jan_Jun2026[Net_Flow_Cr], FII_DII_raw_synthetic_Jan_Jun2026[Date], $A127, FII_DII_raw_synthetic_Jan_Jun2026[Entity_Type], "FII", FII_DII_raw_synthetic_Jan_Jun2026[Sector], I$1)</f>
        <v>0</v>
      </c>
      <c r="J127" s="23">
        <f>SUMIFS(FII_DII_raw_synthetic_Jan_Jun2026[Net_Flow_Cr], FII_DII_raw_synthetic_Jan_Jun2026[Date], $A127, FII_DII_raw_synthetic_Jan_Jun2026[Entity_Type], "FII", FII_DII_raw_synthetic_Jan_Jun2026[Sector], J$1)</f>
        <v>-362.41</v>
      </c>
      <c r="K127" s="23">
        <f>SUMIFS(FII_DII_raw_synthetic_Jan_Jun2026[Net_Flow_Cr], FII_DII_raw_synthetic_Jan_Jun2026[Date], $A127, FII_DII_raw_synthetic_Jan_Jun2026[Entity_Type], "FII", FII_DII_raw_synthetic_Jan_Jun2026[Sector], K$1)</f>
        <v>0</v>
      </c>
      <c r="L127" s="23">
        <f>SUMIFS(FII_DII_raw_synthetic_Jan_Jun2026[Net_Flow_Cr], FII_DII_raw_synthetic_Jan_Jun2026[Date], $A127, FII_DII_raw_synthetic_Jan_Jun2026[Entity_Type], "FII", FII_DII_raw_synthetic_Jan_Jun2026[Sector], L$1)</f>
        <v>0</v>
      </c>
      <c r="M127" s="23">
        <f>SUMIFS(FII_DII_raw_synthetic_Jan_Jun2026[Net_Flow_Cr], FII_DII_raw_synthetic_Jan_Jun2026[Date], $A127, FII_DII_raw_synthetic_Jan_Jun2026[Entity_Type], "FII", FII_DII_raw_synthetic_Jan_Jun2026[Sector], M$1)</f>
        <v>9.3800000000000008</v>
      </c>
      <c r="N127" s="23">
        <f>SUMIFS(FII_DII_raw_synthetic_Jan_Jun2026[Net_Flow_Cr], FII_DII_raw_synthetic_Jan_Jun2026[Date], $A127, FII_DII_raw_synthetic_Jan_Jun2026[Entity_Type], "FII", FII_DII_raw_synthetic_Jan_Jun2026[Sector], N$1)</f>
        <v>-109.44</v>
      </c>
      <c r="O127" s="23">
        <f>SUMIFS(FII_DII_raw_synthetic_Jan_Jun2026[Net_Flow_Cr], FII_DII_raw_synthetic_Jan_Jun2026[Date], $A127, FII_DII_raw_synthetic_Jan_Jun2026[Entity_Type], "FII", FII_DII_raw_synthetic_Jan_Jun2026[Sector], O$1)</f>
        <v>0</v>
      </c>
      <c r="P127" s="23">
        <f>SUMIFS(FII_DII_raw_synthetic_Jan_Jun2026[Net_Flow_Cr], FII_DII_raw_synthetic_Jan_Jun2026[Date], $A127, FII_DII_raw_synthetic_Jan_Jun2026[Entity_Type], "FII", FII_DII_raw_synthetic_Jan_Jun2026[Sector], P$1)</f>
        <v>-351.32</v>
      </c>
      <c r="Q127" s="23" cm="1">
        <f t="array" ref="Q127">SUMPRODUCT(ABS(G127:P127))</f>
        <v>832.55</v>
      </c>
      <c r="R127" s="23" cm="1">
        <f t="array" ref="R127">LARGE(ABS(G127:P127),1)+LARGE(ABS(G127:P127),2)</f>
        <v>713.73</v>
      </c>
      <c r="S127" s="25">
        <f t="shared" si="69"/>
        <v>0.8572818449342382</v>
      </c>
      <c r="T127" s="23" t="str">
        <f>IFERROR(_xlfn.XLOOKUP(A127, 'Nifty 50 Historical Data'!A:A, 'Nifty 50 Historical Data'!G:G), "")</f>
        <v/>
      </c>
      <c r="W127" t="str">
        <f t="shared" si="70"/>
        <v>Divergent Flow</v>
      </c>
      <c r="Y127">
        <f t="shared" si="71"/>
        <v>26</v>
      </c>
    </row>
    <row r="128" spans="1:25">
      <c r="A128" s="24">
        <v>46202</v>
      </c>
      <c r="B128" s="23">
        <f>SUMIFS(FII_DII_raw_synthetic_Jan_Jun2026[Net_Flow_Cr], FII_DII_raw_synthetic_Jan_Jun2026[Date], A128, FII_DII_raw_synthetic_Jan_Jun2026[Entity_Type], "FII")</f>
        <v>2111.2800000000002</v>
      </c>
      <c r="C128" s="23">
        <f>SUMIFS(FII_DII_raw_synthetic_Jan_Jun2026[Net_Flow_Cr], FII_DII_raw_synthetic_Jan_Jun2026[Date], A128, FII_DII_raw_synthetic_Jan_Jun2026[Entity_Type], "DII")</f>
        <v>2604.5600000000004</v>
      </c>
      <c r="D128" s="23">
        <f t="shared" ref="D128:E128" si="132">AVERAGE(B124:B128)</f>
        <v>533.19400000000019</v>
      </c>
      <c r="E128" s="23">
        <f t="shared" si="132"/>
        <v>-212.78199999999998</v>
      </c>
      <c r="F128" s="23">
        <f t="shared" si="68"/>
        <v>-493.2800000000002</v>
      </c>
      <c r="G128" s="23">
        <f>SUMIFS(FII_DII_raw_synthetic_Jan_Jun2026[Net_Flow_Cr], FII_DII_raw_synthetic_Jan_Jun2026[Date], $A128, FII_DII_raw_synthetic_Jan_Jun2026[Entity_Type], "FII", FII_DII_raw_synthetic_Jan_Jun2026[Sector], G$1)</f>
        <v>0</v>
      </c>
      <c r="H128" s="23">
        <f>SUMIFS(FII_DII_raw_synthetic_Jan_Jun2026[Net_Flow_Cr], FII_DII_raw_synthetic_Jan_Jun2026[Date], $A128, FII_DII_raw_synthetic_Jan_Jun2026[Entity_Type], "FII", FII_DII_raw_synthetic_Jan_Jun2026[Sector], H$1)</f>
        <v>0</v>
      </c>
      <c r="I128" s="23">
        <f>SUMIFS(FII_DII_raw_synthetic_Jan_Jun2026[Net_Flow_Cr], FII_DII_raw_synthetic_Jan_Jun2026[Date], $A128, FII_DII_raw_synthetic_Jan_Jun2026[Entity_Type], "FII", FII_DII_raw_synthetic_Jan_Jun2026[Sector], I$1)</f>
        <v>881.52</v>
      </c>
      <c r="J128" s="23">
        <f>SUMIFS(FII_DII_raw_synthetic_Jan_Jun2026[Net_Flow_Cr], FII_DII_raw_synthetic_Jan_Jun2026[Date], $A128, FII_DII_raw_synthetic_Jan_Jun2026[Entity_Type], "FII", FII_DII_raw_synthetic_Jan_Jun2026[Sector], J$1)</f>
        <v>0</v>
      </c>
      <c r="K128" s="23">
        <f>SUMIFS(FII_DII_raw_synthetic_Jan_Jun2026[Net_Flow_Cr], FII_DII_raw_synthetic_Jan_Jun2026[Date], $A128, FII_DII_raw_synthetic_Jan_Jun2026[Entity_Type], "FII", FII_DII_raw_synthetic_Jan_Jun2026[Sector], K$1)</f>
        <v>0</v>
      </c>
      <c r="L128" s="23">
        <f>SUMIFS(FII_DII_raw_synthetic_Jan_Jun2026[Net_Flow_Cr], FII_DII_raw_synthetic_Jan_Jun2026[Date], $A128, FII_DII_raw_synthetic_Jan_Jun2026[Entity_Type], "FII", FII_DII_raw_synthetic_Jan_Jun2026[Sector], L$1)</f>
        <v>0</v>
      </c>
      <c r="M128" s="23">
        <f>SUMIFS(FII_DII_raw_synthetic_Jan_Jun2026[Net_Flow_Cr], FII_DII_raw_synthetic_Jan_Jun2026[Date], $A128, FII_DII_raw_synthetic_Jan_Jun2026[Entity_Type], "FII", FII_DII_raw_synthetic_Jan_Jun2026[Sector], M$1)</f>
        <v>1102.21</v>
      </c>
      <c r="N128" s="23">
        <f>SUMIFS(FII_DII_raw_synthetic_Jan_Jun2026[Net_Flow_Cr], FII_DII_raw_synthetic_Jan_Jun2026[Date], $A128, FII_DII_raw_synthetic_Jan_Jun2026[Entity_Type], "FII", FII_DII_raw_synthetic_Jan_Jun2026[Sector], N$1)</f>
        <v>0</v>
      </c>
      <c r="O128" s="23">
        <f>SUMIFS(FII_DII_raw_synthetic_Jan_Jun2026[Net_Flow_Cr], FII_DII_raw_synthetic_Jan_Jun2026[Date], $A128, FII_DII_raw_synthetic_Jan_Jun2026[Entity_Type], "FII", FII_DII_raw_synthetic_Jan_Jun2026[Sector], O$1)</f>
        <v>0</v>
      </c>
      <c r="P128" s="23">
        <f>SUMIFS(FII_DII_raw_synthetic_Jan_Jun2026[Net_Flow_Cr], FII_DII_raw_synthetic_Jan_Jun2026[Date], $A128, FII_DII_raw_synthetic_Jan_Jun2026[Entity_Type], "FII", FII_DII_raw_synthetic_Jan_Jun2026[Sector], P$1)</f>
        <v>127.55</v>
      </c>
      <c r="Q128" s="23" cm="1">
        <f t="array" ref="Q128">SUMPRODUCT(ABS(G128:P128))</f>
        <v>2111.2800000000002</v>
      </c>
      <c r="R128" s="23" cm="1">
        <f t="array" ref="R128">LARGE(ABS(G128:P128),1)+LARGE(ABS(G128:P128),2)</f>
        <v>1983.73</v>
      </c>
      <c r="S128" s="25">
        <f t="shared" si="69"/>
        <v>0.93958641203440563</v>
      </c>
      <c r="T128" s="23">
        <f>IFERROR(_xlfn.XLOOKUP(A128, 'Nifty 50 Historical Data'!A:A, 'Nifty 50 Historical Data'!G:G), "")</f>
        <v>-0.46</v>
      </c>
      <c r="W128" t="str">
        <f t="shared" si="70"/>
        <v>Strong FII Buying</v>
      </c>
      <c r="Y128">
        <f t="shared" si="71"/>
        <v>27</v>
      </c>
    </row>
    <row r="129" spans="1:25">
      <c r="A129" s="24">
        <v>46203</v>
      </c>
      <c r="B129" s="23">
        <f>SUMIFS(FII_DII_raw_synthetic_Jan_Jun2026[Net_Flow_Cr], FII_DII_raw_synthetic_Jan_Jun2026[Date], A129, FII_DII_raw_synthetic_Jan_Jun2026[Entity_Type], "FII")</f>
        <v>1541.5</v>
      </c>
      <c r="C129" s="23">
        <f>SUMIFS(FII_DII_raw_synthetic_Jan_Jun2026[Net_Flow_Cr], FII_DII_raw_synthetic_Jan_Jun2026[Date], A129, FII_DII_raw_synthetic_Jan_Jun2026[Entity_Type], "DII")</f>
        <v>-1951.7099999999998</v>
      </c>
      <c r="D129" s="23">
        <f t="shared" ref="D129:E129" si="133">AVERAGE(B125:B129)</f>
        <v>804.82</v>
      </c>
      <c r="E129" s="23">
        <f t="shared" si="133"/>
        <v>-396.66399999999987</v>
      </c>
      <c r="F129" s="23">
        <f t="shared" si="68"/>
        <v>-410.20999999999981</v>
      </c>
      <c r="G129" s="23">
        <f>SUMIFS(FII_DII_raw_synthetic_Jan_Jun2026[Net_Flow_Cr], FII_DII_raw_synthetic_Jan_Jun2026[Date], $A129, FII_DII_raw_synthetic_Jan_Jun2026[Entity_Type], "FII", FII_DII_raw_synthetic_Jan_Jun2026[Sector], G$1)</f>
        <v>451.3</v>
      </c>
      <c r="H129" s="23">
        <f>SUMIFS(FII_DII_raw_synthetic_Jan_Jun2026[Net_Flow_Cr], FII_DII_raw_synthetic_Jan_Jun2026[Date], $A129, FII_DII_raw_synthetic_Jan_Jun2026[Entity_Type], "FII", FII_DII_raw_synthetic_Jan_Jun2026[Sector], H$1)</f>
        <v>0</v>
      </c>
      <c r="I129" s="23">
        <f>SUMIFS(FII_DII_raw_synthetic_Jan_Jun2026[Net_Flow_Cr], FII_DII_raw_synthetic_Jan_Jun2026[Date], $A129, FII_DII_raw_synthetic_Jan_Jun2026[Entity_Type], "FII", FII_DII_raw_synthetic_Jan_Jun2026[Sector], I$1)</f>
        <v>0</v>
      </c>
      <c r="J129" s="23">
        <f>SUMIFS(FII_DII_raw_synthetic_Jan_Jun2026[Net_Flow_Cr], FII_DII_raw_synthetic_Jan_Jun2026[Date], $A129, FII_DII_raw_synthetic_Jan_Jun2026[Entity_Type], "FII", FII_DII_raw_synthetic_Jan_Jun2026[Sector], J$1)</f>
        <v>-1262.83</v>
      </c>
      <c r="K129" s="23">
        <f>SUMIFS(FII_DII_raw_synthetic_Jan_Jun2026[Net_Flow_Cr], FII_DII_raw_synthetic_Jan_Jun2026[Date], $A129, FII_DII_raw_synthetic_Jan_Jun2026[Entity_Type], "FII", FII_DII_raw_synthetic_Jan_Jun2026[Sector], K$1)</f>
        <v>0</v>
      </c>
      <c r="L129" s="23">
        <f>SUMIFS(FII_DII_raw_synthetic_Jan_Jun2026[Net_Flow_Cr], FII_DII_raw_synthetic_Jan_Jun2026[Date], $A129, FII_DII_raw_synthetic_Jan_Jun2026[Entity_Type], "FII", FII_DII_raw_synthetic_Jan_Jun2026[Sector], L$1)</f>
        <v>0</v>
      </c>
      <c r="M129" s="23">
        <f>SUMIFS(FII_DII_raw_synthetic_Jan_Jun2026[Net_Flow_Cr], FII_DII_raw_synthetic_Jan_Jun2026[Date], $A129, FII_DII_raw_synthetic_Jan_Jun2026[Entity_Type], "FII", FII_DII_raw_synthetic_Jan_Jun2026[Sector], M$1)</f>
        <v>1419.58</v>
      </c>
      <c r="N129" s="23">
        <f>SUMIFS(FII_DII_raw_synthetic_Jan_Jun2026[Net_Flow_Cr], FII_DII_raw_synthetic_Jan_Jun2026[Date], $A129, FII_DII_raw_synthetic_Jan_Jun2026[Entity_Type], "FII", FII_DII_raw_synthetic_Jan_Jun2026[Sector], N$1)</f>
        <v>0</v>
      </c>
      <c r="O129" s="23">
        <f>SUMIFS(FII_DII_raw_synthetic_Jan_Jun2026[Net_Flow_Cr], FII_DII_raw_synthetic_Jan_Jun2026[Date], $A129, FII_DII_raw_synthetic_Jan_Jun2026[Entity_Type], "FII", FII_DII_raw_synthetic_Jan_Jun2026[Sector], O$1)</f>
        <v>933.45</v>
      </c>
      <c r="P129" s="23">
        <f>SUMIFS(FII_DII_raw_synthetic_Jan_Jun2026[Net_Flow_Cr], FII_DII_raw_synthetic_Jan_Jun2026[Date], $A129, FII_DII_raw_synthetic_Jan_Jun2026[Entity_Type], "FII", FII_DII_raw_synthetic_Jan_Jun2026[Sector], P$1)</f>
        <v>0</v>
      </c>
      <c r="Q129" s="23" cm="1">
        <f t="array" ref="Q129">SUMPRODUCT(ABS(G129:P129))</f>
        <v>4067.16</v>
      </c>
      <c r="R129" s="23" cm="1">
        <f t="array" ref="R129">LARGE(ABS(G129:P129),1)+LARGE(ABS(G129:P129),2)</f>
        <v>2682.41</v>
      </c>
      <c r="S129" s="25">
        <f t="shared" si="69"/>
        <v>0.65952900795641178</v>
      </c>
      <c r="T129" s="23" t="str">
        <f>IFERROR(_xlfn.XLOOKUP(A129, 'Nifty 50 Historical Data'!A:A, 'Nifty 50 Historical Data'!G:G), "")</f>
        <v/>
      </c>
      <c r="W129" t="str">
        <f t="shared" si="70"/>
        <v>Divergent Flow</v>
      </c>
      <c r="Y129">
        <f t="shared" si="71"/>
        <v>27</v>
      </c>
    </row>
    <row r="130" spans="1:25">
      <c r="A130" s="1"/>
    </row>
    <row r="131" spans="1:25">
      <c r="A131" s="1"/>
    </row>
    <row r="132" spans="1:25">
      <c r="A132" s="1"/>
    </row>
    <row r="133" spans="1:25">
      <c r="A133" s="1"/>
    </row>
    <row r="134" spans="1:25">
      <c r="A134" s="1"/>
    </row>
    <row r="135" spans="1:25">
      <c r="A135" s="1"/>
    </row>
    <row r="136" spans="1:25">
      <c r="A136" s="1"/>
    </row>
    <row r="137" spans="1:25">
      <c r="A137" s="1"/>
    </row>
    <row r="138" spans="1:25">
      <c r="A138" s="1"/>
    </row>
    <row r="139" spans="1:25">
      <c r="A139" s="1"/>
    </row>
    <row r="140" spans="1:25">
      <c r="A140" s="1"/>
    </row>
    <row r="141" spans="1:25">
      <c r="A141" s="1"/>
    </row>
    <row r="142" spans="1:25">
      <c r="A142" s="1"/>
    </row>
    <row r="143" spans="1:25">
      <c r="A143" s="1"/>
    </row>
    <row r="144" spans="1:25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</sheetData>
  <conditionalFormatting sqref="A1:T129">
    <cfRule type="colorScale" priority="4">
      <colorScale>
        <cfvo type="min"/>
        <cfvo type="max"/>
        <color rgb="FFFCFCFF"/>
        <color rgb="FFF8696B"/>
      </colorScale>
    </cfRule>
  </conditionalFormatting>
  <conditionalFormatting sqref="V1:AB12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1:AF2">
    <cfRule type="colorScale" priority="2">
      <colorScale>
        <cfvo type="min"/>
        <cfvo type="max"/>
        <color rgb="FFFCFCFF"/>
        <color rgb="FFF8696B"/>
      </colorScale>
    </cfRule>
  </conditionalFormatting>
  <conditionalFormatting sqref="AH1:AJ6">
    <cfRule type="colorScale" priority="1">
      <colorScale>
        <cfvo type="min"/>
        <cfvo type="max"/>
        <color rgb="FFF8696B"/>
        <color rgb="FFFCFCFF"/>
      </colorScale>
    </cfRule>
  </conditionalFormatting>
  <dataValidations count="1">
    <dataValidation type="list" allowBlank="1" showInputMessage="1" showErrorMessage="1" sqref="AD2" xr:uid="{C1293B7C-6074-433A-838F-1000B2DA4AF3}">
      <formula1>"Bull,Base,Bear"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6623-2FD8-4A95-BD4E-BB81A5203DB2}">
  <sheetPr>
    <tabColor theme="5" tint="0.59999389629810485"/>
  </sheetPr>
  <dimension ref="A1:K28"/>
  <sheetViews>
    <sheetView showGridLines="0" showRowColHeaders="0" zoomScale="99" zoomScaleNormal="99" workbookViewId="0">
      <selection sqref="A1:B1"/>
    </sheetView>
  </sheetViews>
  <sheetFormatPr defaultRowHeight="14.45"/>
  <cols>
    <col min="1" max="1" width="10.28515625" bestFit="1" customWidth="1"/>
    <col min="2" max="2" width="14.7109375" bestFit="1" customWidth="1"/>
    <col min="4" max="4" width="21.28515625" bestFit="1" customWidth="1"/>
    <col min="5" max="9" width="9.42578125" bestFit="1" customWidth="1"/>
    <col min="10" max="10" width="12.5703125" bestFit="1" customWidth="1"/>
    <col min="11" max="11" width="10.85546875" bestFit="1" customWidth="1"/>
  </cols>
  <sheetData>
    <row r="1" spans="1:11">
      <c r="A1" s="2" t="s">
        <v>19</v>
      </c>
      <c r="B1" s="2" t="s">
        <v>21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</row>
    <row r="2" spans="1:11">
      <c r="A2" cm="1">
        <f t="array" ref="A2:A28">_xlfn._xlws.SORT(_xlfn.UNIQUE(FII_DII_raw_synthetic_Jan_Jun2026[Week_Num]))</f>
        <v>1</v>
      </c>
      <c r="B2">
        <f>SUMIFS(FII_DII_raw_synthetic_Jan_Jun2026[Net_Flow_Cr],FII_DII_raw_synthetic_Jan_Jun2026[Week_Num],$A2,FII_DII_raw_synthetic_Jan_Jun2026[Entity_Type],"FII",FII_DII_raw_synthetic_Jan_Jun2026[Sector],B$1)</f>
        <v>-686.72</v>
      </c>
      <c r="C2">
        <f>SUMIFS(FII_DII_raw_synthetic_Jan_Jun2026[Net_Flow_Cr],FII_DII_raw_synthetic_Jan_Jun2026[Week_Num],$A2,FII_DII_raw_synthetic_Jan_Jun2026[Entity_Type],"FII",FII_DII_raw_synthetic_Jan_Jun2026[Sector],C$1)</f>
        <v>0</v>
      </c>
      <c r="D2">
        <f>SUMIFS(FII_DII_raw_synthetic_Jan_Jun2026[Net_Flow_Cr],FII_DII_raw_synthetic_Jan_Jun2026[Week_Num],$A2,FII_DII_raw_synthetic_Jan_Jun2026[Entity_Type],"FII",FII_DII_raw_synthetic_Jan_Jun2026[Sector],D$1)</f>
        <v>-2175.96</v>
      </c>
      <c r="E2">
        <f>SUMIFS(FII_DII_raw_synthetic_Jan_Jun2026[Net_Flow_Cr],FII_DII_raw_synthetic_Jan_Jun2026[Week_Num],$A2,FII_DII_raw_synthetic_Jan_Jun2026[Entity_Type],"FII",FII_DII_raw_synthetic_Jan_Jun2026[Sector],E$1)</f>
        <v>1818.05</v>
      </c>
      <c r="F2">
        <f>SUMIFS(FII_DII_raw_synthetic_Jan_Jun2026[Net_Flow_Cr],FII_DII_raw_synthetic_Jan_Jun2026[Week_Num],$A2,FII_DII_raw_synthetic_Jan_Jun2026[Entity_Type],"FII",FII_DII_raw_synthetic_Jan_Jun2026[Sector],F$1)</f>
        <v>30.8</v>
      </c>
      <c r="G2">
        <f>SUMIFS(FII_DII_raw_synthetic_Jan_Jun2026[Net_Flow_Cr],FII_DII_raw_synthetic_Jan_Jun2026[Week_Num],$A2,FII_DII_raw_synthetic_Jan_Jun2026[Entity_Type],"FII",FII_DII_raw_synthetic_Jan_Jun2026[Sector],G$1)</f>
        <v>-145.01999999999998</v>
      </c>
      <c r="H2">
        <f>SUMIFS(FII_DII_raw_synthetic_Jan_Jun2026[Net_Flow_Cr],FII_DII_raw_synthetic_Jan_Jun2026[Week_Num],$A2,FII_DII_raw_synthetic_Jan_Jun2026[Entity_Type],"FII",FII_DII_raw_synthetic_Jan_Jun2026[Sector],H$1)</f>
        <v>0</v>
      </c>
      <c r="I2">
        <f>SUMIFS(FII_DII_raw_synthetic_Jan_Jun2026[Net_Flow_Cr],FII_DII_raw_synthetic_Jan_Jun2026[Week_Num],$A2,FII_DII_raw_synthetic_Jan_Jun2026[Entity_Type],"FII",FII_DII_raw_synthetic_Jan_Jun2026[Sector],I$1)</f>
        <v>0</v>
      </c>
      <c r="J2">
        <f>SUMIFS(FII_DII_raw_synthetic_Jan_Jun2026[Net_Flow_Cr],FII_DII_raw_synthetic_Jan_Jun2026[Week_Num],$A2,FII_DII_raw_synthetic_Jan_Jun2026[Entity_Type],"FII",FII_DII_raw_synthetic_Jan_Jun2026[Sector],J$1)</f>
        <v>0</v>
      </c>
      <c r="K2">
        <f>SUMIFS(FII_DII_raw_synthetic_Jan_Jun2026[Net_Flow_Cr],FII_DII_raw_synthetic_Jan_Jun2026[Week_Num],$A2,FII_DII_raw_synthetic_Jan_Jun2026[Entity_Type],"FII",FII_DII_raw_synthetic_Jan_Jun2026[Sector],K$1)</f>
        <v>-569.32000000000005</v>
      </c>
    </row>
    <row r="3" spans="1:11">
      <c r="A3">
        <v>2</v>
      </c>
      <c r="B3">
        <f>SUMIFS(FII_DII_raw_synthetic_Jan_Jun2026[Net_Flow_Cr],FII_DII_raw_synthetic_Jan_Jun2026[Week_Num],$A3,FII_DII_raw_synthetic_Jan_Jun2026[Entity_Type],"FII",FII_DII_raw_synthetic_Jan_Jun2026[Sector],B$1)</f>
        <v>0</v>
      </c>
      <c r="C3">
        <f>SUMIFS(FII_DII_raw_synthetic_Jan_Jun2026[Net_Flow_Cr],FII_DII_raw_synthetic_Jan_Jun2026[Week_Num],$A3,FII_DII_raw_synthetic_Jan_Jun2026[Entity_Type],"FII",FII_DII_raw_synthetic_Jan_Jun2026[Sector],C$1)</f>
        <v>-1490.4399999999998</v>
      </c>
      <c r="D3">
        <f>SUMIFS(FII_DII_raw_synthetic_Jan_Jun2026[Net_Flow_Cr],FII_DII_raw_synthetic_Jan_Jun2026[Week_Num],$A3,FII_DII_raw_synthetic_Jan_Jun2026[Entity_Type],"FII",FII_DII_raw_synthetic_Jan_Jun2026[Sector],D$1)</f>
        <v>735.2</v>
      </c>
      <c r="E3">
        <f>SUMIFS(FII_DII_raw_synthetic_Jan_Jun2026[Net_Flow_Cr],FII_DII_raw_synthetic_Jan_Jun2026[Week_Num],$A3,FII_DII_raw_synthetic_Jan_Jun2026[Entity_Type],"FII",FII_DII_raw_synthetic_Jan_Jun2026[Sector],E$1)</f>
        <v>-1972.94</v>
      </c>
      <c r="F3">
        <f>SUMIFS(FII_DII_raw_synthetic_Jan_Jun2026[Net_Flow_Cr],FII_DII_raw_synthetic_Jan_Jun2026[Week_Num],$A3,FII_DII_raw_synthetic_Jan_Jun2026[Entity_Type],"FII",FII_DII_raw_synthetic_Jan_Jun2026[Sector],F$1)</f>
        <v>-1736.24</v>
      </c>
      <c r="G3">
        <f>SUMIFS(FII_DII_raw_synthetic_Jan_Jun2026[Net_Flow_Cr],FII_DII_raw_synthetic_Jan_Jun2026[Week_Num],$A3,FII_DII_raw_synthetic_Jan_Jun2026[Entity_Type],"FII",FII_DII_raw_synthetic_Jan_Jun2026[Sector],G$1)</f>
        <v>325.55</v>
      </c>
      <c r="H3">
        <f>SUMIFS(FII_DII_raw_synthetic_Jan_Jun2026[Net_Flow_Cr],FII_DII_raw_synthetic_Jan_Jun2026[Week_Num],$A3,FII_DII_raw_synthetic_Jan_Jun2026[Entity_Type],"FII",FII_DII_raw_synthetic_Jan_Jun2026[Sector],H$1)</f>
        <v>-2052.8000000000002</v>
      </c>
      <c r="I3">
        <f>SUMIFS(FII_DII_raw_synthetic_Jan_Jun2026[Net_Flow_Cr],FII_DII_raw_synthetic_Jan_Jun2026[Week_Num],$A3,FII_DII_raw_synthetic_Jan_Jun2026[Entity_Type],"FII",FII_DII_raw_synthetic_Jan_Jun2026[Sector],I$1)</f>
        <v>-443.55</v>
      </c>
      <c r="J3">
        <f>SUMIFS(FII_DII_raw_synthetic_Jan_Jun2026[Net_Flow_Cr],FII_DII_raw_synthetic_Jan_Jun2026[Week_Num],$A3,FII_DII_raw_synthetic_Jan_Jun2026[Entity_Type],"FII",FII_DII_raw_synthetic_Jan_Jun2026[Sector],J$1)</f>
        <v>-941.71</v>
      </c>
      <c r="K3">
        <f>SUMIFS(FII_DII_raw_synthetic_Jan_Jun2026[Net_Flow_Cr],FII_DII_raw_synthetic_Jan_Jun2026[Week_Num],$A3,FII_DII_raw_synthetic_Jan_Jun2026[Entity_Type],"FII",FII_DII_raw_synthetic_Jan_Jun2026[Sector],K$1)</f>
        <v>632.94000000000005</v>
      </c>
    </row>
    <row r="4" spans="1:11">
      <c r="A4">
        <v>3</v>
      </c>
      <c r="B4">
        <f>SUMIFS(FII_DII_raw_synthetic_Jan_Jun2026[Net_Flow_Cr],FII_DII_raw_synthetic_Jan_Jun2026[Week_Num],$A4,FII_DII_raw_synthetic_Jan_Jun2026[Entity_Type],"FII",FII_DII_raw_synthetic_Jan_Jun2026[Sector],B$1)</f>
        <v>-1386.78</v>
      </c>
      <c r="C4">
        <f>SUMIFS(FII_DII_raw_synthetic_Jan_Jun2026[Net_Flow_Cr],FII_DII_raw_synthetic_Jan_Jun2026[Week_Num],$A4,FII_DII_raw_synthetic_Jan_Jun2026[Entity_Type],"FII",FII_DII_raw_synthetic_Jan_Jun2026[Sector],C$1)</f>
        <v>-1097.97</v>
      </c>
      <c r="D4">
        <f>SUMIFS(FII_DII_raw_synthetic_Jan_Jun2026[Net_Flow_Cr],FII_DII_raw_synthetic_Jan_Jun2026[Week_Num],$A4,FII_DII_raw_synthetic_Jan_Jun2026[Entity_Type],"FII",FII_DII_raw_synthetic_Jan_Jun2026[Sector],D$1)</f>
        <v>988.42000000000007</v>
      </c>
      <c r="E4">
        <f>SUMIFS(FII_DII_raw_synthetic_Jan_Jun2026[Net_Flow_Cr],FII_DII_raw_synthetic_Jan_Jun2026[Week_Num],$A4,FII_DII_raw_synthetic_Jan_Jun2026[Entity_Type],"FII",FII_DII_raw_synthetic_Jan_Jun2026[Sector],E$1)</f>
        <v>-1896.41</v>
      </c>
      <c r="F4">
        <f>SUMIFS(FII_DII_raw_synthetic_Jan_Jun2026[Net_Flow_Cr],FII_DII_raw_synthetic_Jan_Jun2026[Week_Num],$A4,FII_DII_raw_synthetic_Jan_Jun2026[Entity_Type],"FII",FII_DII_raw_synthetic_Jan_Jun2026[Sector],F$1)</f>
        <v>0</v>
      </c>
      <c r="G4">
        <f>SUMIFS(FII_DII_raw_synthetic_Jan_Jun2026[Net_Flow_Cr],FII_DII_raw_synthetic_Jan_Jun2026[Week_Num],$A4,FII_DII_raw_synthetic_Jan_Jun2026[Entity_Type],"FII",FII_DII_raw_synthetic_Jan_Jun2026[Sector],G$1)</f>
        <v>0</v>
      </c>
      <c r="H4">
        <f>SUMIFS(FII_DII_raw_synthetic_Jan_Jun2026[Net_Flow_Cr],FII_DII_raw_synthetic_Jan_Jun2026[Week_Num],$A4,FII_DII_raw_synthetic_Jan_Jun2026[Entity_Type],"FII",FII_DII_raw_synthetic_Jan_Jun2026[Sector],H$1)</f>
        <v>-2105.7800000000002</v>
      </c>
      <c r="I4">
        <f>SUMIFS(FII_DII_raw_synthetic_Jan_Jun2026[Net_Flow_Cr],FII_DII_raw_synthetic_Jan_Jun2026[Week_Num],$A4,FII_DII_raw_synthetic_Jan_Jun2026[Entity_Type],"FII",FII_DII_raw_synthetic_Jan_Jun2026[Sector],I$1)</f>
        <v>621.82999999999993</v>
      </c>
      <c r="J4">
        <f>SUMIFS(FII_DII_raw_synthetic_Jan_Jun2026[Net_Flow_Cr],FII_DII_raw_synthetic_Jan_Jun2026[Week_Num],$A4,FII_DII_raw_synthetic_Jan_Jun2026[Entity_Type],"FII",FII_DII_raw_synthetic_Jan_Jun2026[Sector],J$1)</f>
        <v>1616.99</v>
      </c>
      <c r="K4">
        <f>SUMIFS(FII_DII_raw_synthetic_Jan_Jun2026[Net_Flow_Cr],FII_DII_raw_synthetic_Jan_Jun2026[Week_Num],$A4,FII_DII_raw_synthetic_Jan_Jun2026[Entity_Type],"FII",FII_DII_raw_synthetic_Jan_Jun2026[Sector],K$1)</f>
        <v>-838.88</v>
      </c>
    </row>
    <row r="5" spans="1:11">
      <c r="A5">
        <v>4</v>
      </c>
      <c r="B5">
        <f>SUMIFS(FII_DII_raw_synthetic_Jan_Jun2026[Net_Flow_Cr],FII_DII_raw_synthetic_Jan_Jun2026[Week_Num],$A5,FII_DII_raw_synthetic_Jan_Jun2026[Entity_Type],"FII",FII_DII_raw_synthetic_Jan_Jun2026[Sector],B$1)</f>
        <v>-273.76</v>
      </c>
      <c r="C5">
        <f>SUMIFS(FII_DII_raw_synthetic_Jan_Jun2026[Net_Flow_Cr],FII_DII_raw_synthetic_Jan_Jun2026[Week_Num],$A5,FII_DII_raw_synthetic_Jan_Jun2026[Entity_Type],"FII",FII_DII_raw_synthetic_Jan_Jun2026[Sector],C$1)</f>
        <v>20.330000000000041</v>
      </c>
      <c r="D5">
        <f>SUMIFS(FII_DII_raw_synthetic_Jan_Jun2026[Net_Flow_Cr],FII_DII_raw_synthetic_Jan_Jun2026[Week_Num],$A5,FII_DII_raw_synthetic_Jan_Jun2026[Entity_Type],"FII",FII_DII_raw_synthetic_Jan_Jun2026[Sector],D$1)</f>
        <v>-926.23</v>
      </c>
      <c r="E5">
        <f>SUMIFS(FII_DII_raw_synthetic_Jan_Jun2026[Net_Flow_Cr],FII_DII_raw_synthetic_Jan_Jun2026[Week_Num],$A5,FII_DII_raw_synthetic_Jan_Jun2026[Entity_Type],"FII",FII_DII_raw_synthetic_Jan_Jun2026[Sector],E$1)</f>
        <v>42.33</v>
      </c>
      <c r="F5">
        <f>SUMIFS(FII_DII_raw_synthetic_Jan_Jun2026[Net_Flow_Cr],FII_DII_raw_synthetic_Jan_Jun2026[Week_Num],$A5,FII_DII_raw_synthetic_Jan_Jun2026[Entity_Type],"FII",FII_DII_raw_synthetic_Jan_Jun2026[Sector],F$1)</f>
        <v>0</v>
      </c>
      <c r="G5">
        <f>SUMIFS(FII_DII_raw_synthetic_Jan_Jun2026[Net_Flow_Cr],FII_DII_raw_synthetic_Jan_Jun2026[Week_Num],$A5,FII_DII_raw_synthetic_Jan_Jun2026[Entity_Type],"FII",FII_DII_raw_synthetic_Jan_Jun2026[Sector],G$1)</f>
        <v>-258.93</v>
      </c>
      <c r="H5">
        <f>SUMIFS(FII_DII_raw_synthetic_Jan_Jun2026[Net_Flow_Cr],FII_DII_raw_synthetic_Jan_Jun2026[Week_Num],$A5,FII_DII_raw_synthetic_Jan_Jun2026[Entity_Type],"FII",FII_DII_raw_synthetic_Jan_Jun2026[Sector],H$1)</f>
        <v>-1074.04</v>
      </c>
      <c r="I5">
        <f>SUMIFS(FII_DII_raw_synthetic_Jan_Jun2026[Net_Flow_Cr],FII_DII_raw_synthetic_Jan_Jun2026[Week_Num],$A5,FII_DII_raw_synthetic_Jan_Jun2026[Entity_Type],"FII",FII_DII_raw_synthetic_Jan_Jun2026[Sector],I$1)</f>
        <v>-1656.12</v>
      </c>
      <c r="J5">
        <f>SUMIFS(FII_DII_raw_synthetic_Jan_Jun2026[Net_Flow_Cr],FII_DII_raw_synthetic_Jan_Jun2026[Week_Num],$A5,FII_DII_raw_synthetic_Jan_Jun2026[Entity_Type],"FII",FII_DII_raw_synthetic_Jan_Jun2026[Sector],J$1)</f>
        <v>-1551.6200000000001</v>
      </c>
      <c r="K5">
        <f>SUMIFS(FII_DII_raw_synthetic_Jan_Jun2026[Net_Flow_Cr],FII_DII_raw_synthetic_Jan_Jun2026[Week_Num],$A5,FII_DII_raw_synthetic_Jan_Jun2026[Entity_Type],"FII",FII_DII_raw_synthetic_Jan_Jun2026[Sector],K$1)</f>
        <v>-50.180000000000064</v>
      </c>
    </row>
    <row r="6" spans="1:11">
      <c r="A6">
        <v>5</v>
      </c>
      <c r="B6">
        <f>SUMIFS(FII_DII_raw_synthetic_Jan_Jun2026[Net_Flow_Cr],FII_DII_raw_synthetic_Jan_Jun2026[Week_Num],$A6,FII_DII_raw_synthetic_Jan_Jun2026[Entity_Type],"FII",FII_DII_raw_synthetic_Jan_Jun2026[Sector],B$1)</f>
        <v>1306.0999999999999</v>
      </c>
      <c r="C6">
        <f>SUMIFS(FII_DII_raw_synthetic_Jan_Jun2026[Net_Flow_Cr],FII_DII_raw_synthetic_Jan_Jun2026[Week_Num],$A6,FII_DII_raw_synthetic_Jan_Jun2026[Entity_Type],"FII",FII_DII_raw_synthetic_Jan_Jun2026[Sector],C$1)</f>
        <v>1763.42</v>
      </c>
      <c r="D6">
        <f>SUMIFS(FII_DII_raw_synthetic_Jan_Jun2026[Net_Flow_Cr],FII_DII_raw_synthetic_Jan_Jun2026[Week_Num],$A6,FII_DII_raw_synthetic_Jan_Jun2026[Entity_Type],"FII",FII_DII_raw_synthetic_Jan_Jun2026[Sector],D$1)</f>
        <v>-136.30000000000001</v>
      </c>
      <c r="E6">
        <f>SUMIFS(FII_DII_raw_synthetic_Jan_Jun2026[Net_Flow_Cr],FII_DII_raw_synthetic_Jan_Jun2026[Week_Num],$A6,FII_DII_raw_synthetic_Jan_Jun2026[Entity_Type],"FII",FII_DII_raw_synthetic_Jan_Jun2026[Sector],E$1)</f>
        <v>-122.94</v>
      </c>
      <c r="F6">
        <f>SUMIFS(FII_DII_raw_synthetic_Jan_Jun2026[Net_Flow_Cr],FII_DII_raw_synthetic_Jan_Jun2026[Week_Num],$A6,FII_DII_raw_synthetic_Jan_Jun2026[Entity_Type],"FII",FII_DII_raw_synthetic_Jan_Jun2026[Sector],F$1)</f>
        <v>0</v>
      </c>
      <c r="G6">
        <f>SUMIFS(FII_DII_raw_synthetic_Jan_Jun2026[Net_Flow_Cr],FII_DII_raw_synthetic_Jan_Jun2026[Week_Num],$A6,FII_DII_raw_synthetic_Jan_Jun2026[Entity_Type],"FII",FII_DII_raw_synthetic_Jan_Jun2026[Sector],G$1)</f>
        <v>-894.35</v>
      </c>
      <c r="H6">
        <f>SUMIFS(FII_DII_raw_synthetic_Jan_Jun2026[Net_Flow_Cr],FII_DII_raw_synthetic_Jan_Jun2026[Week_Num],$A6,FII_DII_raw_synthetic_Jan_Jun2026[Entity_Type],"FII",FII_DII_raw_synthetic_Jan_Jun2026[Sector],H$1)</f>
        <v>823.64</v>
      </c>
      <c r="I6">
        <f>SUMIFS(FII_DII_raw_synthetic_Jan_Jun2026[Net_Flow_Cr],FII_DII_raw_synthetic_Jan_Jun2026[Week_Num],$A6,FII_DII_raw_synthetic_Jan_Jun2026[Entity_Type],"FII",FII_DII_raw_synthetic_Jan_Jun2026[Sector],I$1)</f>
        <v>1958.29</v>
      </c>
      <c r="J6">
        <f>SUMIFS(FII_DII_raw_synthetic_Jan_Jun2026[Net_Flow_Cr],FII_DII_raw_synthetic_Jan_Jun2026[Week_Num],$A6,FII_DII_raw_synthetic_Jan_Jun2026[Entity_Type],"FII",FII_DII_raw_synthetic_Jan_Jun2026[Sector],J$1)</f>
        <v>0</v>
      </c>
      <c r="K6">
        <f>SUMIFS(FII_DII_raw_synthetic_Jan_Jun2026[Net_Flow_Cr],FII_DII_raw_synthetic_Jan_Jun2026[Week_Num],$A6,FII_DII_raw_synthetic_Jan_Jun2026[Entity_Type],"FII",FII_DII_raw_synthetic_Jan_Jun2026[Sector],K$1)</f>
        <v>-293.10000000000002</v>
      </c>
    </row>
    <row r="7" spans="1:11">
      <c r="A7">
        <v>6</v>
      </c>
      <c r="B7">
        <f>SUMIFS(FII_DII_raw_synthetic_Jan_Jun2026[Net_Flow_Cr],FII_DII_raw_synthetic_Jan_Jun2026[Week_Num],$A7,FII_DII_raw_synthetic_Jan_Jun2026[Entity_Type],"FII",FII_DII_raw_synthetic_Jan_Jun2026[Sector],B$1)</f>
        <v>-1266.1799999999998</v>
      </c>
      <c r="C7">
        <f>SUMIFS(FII_DII_raw_synthetic_Jan_Jun2026[Net_Flow_Cr],FII_DII_raw_synthetic_Jan_Jun2026[Week_Num],$A7,FII_DII_raw_synthetic_Jan_Jun2026[Entity_Type],"FII",FII_DII_raw_synthetic_Jan_Jun2026[Sector],C$1)</f>
        <v>839.64</v>
      </c>
      <c r="D7">
        <f>SUMIFS(FII_DII_raw_synthetic_Jan_Jun2026[Net_Flow_Cr],FII_DII_raw_synthetic_Jan_Jun2026[Week_Num],$A7,FII_DII_raw_synthetic_Jan_Jun2026[Entity_Type],"FII",FII_DII_raw_synthetic_Jan_Jun2026[Sector],D$1)</f>
        <v>-1189.18</v>
      </c>
      <c r="E7">
        <f>SUMIFS(FII_DII_raw_synthetic_Jan_Jun2026[Net_Flow_Cr],FII_DII_raw_synthetic_Jan_Jun2026[Week_Num],$A7,FII_DII_raw_synthetic_Jan_Jun2026[Entity_Type],"FII",FII_DII_raw_synthetic_Jan_Jun2026[Sector],E$1)</f>
        <v>157.44999999999999</v>
      </c>
      <c r="F7">
        <f>SUMIFS(FII_DII_raw_synthetic_Jan_Jun2026[Net_Flow_Cr],FII_DII_raw_synthetic_Jan_Jun2026[Week_Num],$A7,FII_DII_raw_synthetic_Jan_Jun2026[Entity_Type],"FII",FII_DII_raw_synthetic_Jan_Jun2026[Sector],F$1)</f>
        <v>-2136.29</v>
      </c>
      <c r="G7">
        <f>SUMIFS(FII_DII_raw_synthetic_Jan_Jun2026[Net_Flow_Cr],FII_DII_raw_synthetic_Jan_Jun2026[Week_Num],$A7,FII_DII_raw_synthetic_Jan_Jun2026[Entity_Type],"FII",FII_DII_raw_synthetic_Jan_Jun2026[Sector],G$1)</f>
        <v>-1141.67</v>
      </c>
      <c r="H7">
        <f>SUMIFS(FII_DII_raw_synthetic_Jan_Jun2026[Net_Flow_Cr],FII_DII_raw_synthetic_Jan_Jun2026[Week_Num],$A7,FII_DII_raw_synthetic_Jan_Jun2026[Entity_Type],"FII",FII_DII_raw_synthetic_Jan_Jun2026[Sector],H$1)</f>
        <v>472.11</v>
      </c>
      <c r="I7">
        <f>SUMIFS(FII_DII_raw_synthetic_Jan_Jun2026[Net_Flow_Cr],FII_DII_raw_synthetic_Jan_Jun2026[Week_Num],$A7,FII_DII_raw_synthetic_Jan_Jun2026[Entity_Type],"FII",FII_DII_raw_synthetic_Jan_Jun2026[Sector],I$1)</f>
        <v>-1204.77</v>
      </c>
      <c r="J7">
        <f>SUMIFS(FII_DII_raw_synthetic_Jan_Jun2026[Net_Flow_Cr],FII_DII_raw_synthetic_Jan_Jun2026[Week_Num],$A7,FII_DII_raw_synthetic_Jan_Jun2026[Entity_Type],"FII",FII_DII_raw_synthetic_Jan_Jun2026[Sector],J$1)</f>
        <v>-241.15000000000009</v>
      </c>
      <c r="K7">
        <f>SUMIFS(FII_DII_raw_synthetic_Jan_Jun2026[Net_Flow_Cr],FII_DII_raw_synthetic_Jan_Jun2026[Week_Num],$A7,FII_DII_raw_synthetic_Jan_Jun2026[Entity_Type],"FII",FII_DII_raw_synthetic_Jan_Jun2026[Sector],K$1)</f>
        <v>428.02</v>
      </c>
    </row>
    <row r="8" spans="1:11">
      <c r="A8">
        <v>7</v>
      </c>
      <c r="B8">
        <f>SUMIFS(FII_DII_raw_synthetic_Jan_Jun2026[Net_Flow_Cr],FII_DII_raw_synthetic_Jan_Jun2026[Week_Num],$A8,FII_DII_raw_synthetic_Jan_Jun2026[Entity_Type],"FII",FII_DII_raw_synthetic_Jan_Jun2026[Sector],B$1)</f>
        <v>-952.48000000000013</v>
      </c>
      <c r="C8">
        <f>SUMIFS(FII_DII_raw_synthetic_Jan_Jun2026[Net_Flow_Cr],FII_DII_raw_synthetic_Jan_Jun2026[Week_Num],$A8,FII_DII_raw_synthetic_Jan_Jun2026[Entity_Type],"FII",FII_DII_raw_synthetic_Jan_Jun2026[Sector],C$1)</f>
        <v>1042.22</v>
      </c>
      <c r="D8">
        <f>SUMIFS(FII_DII_raw_synthetic_Jan_Jun2026[Net_Flow_Cr],FII_DII_raw_synthetic_Jan_Jun2026[Week_Num],$A8,FII_DII_raw_synthetic_Jan_Jun2026[Entity_Type],"FII",FII_DII_raw_synthetic_Jan_Jun2026[Sector],D$1)</f>
        <v>-3344.88</v>
      </c>
      <c r="E8">
        <f>SUMIFS(FII_DII_raw_synthetic_Jan_Jun2026[Net_Flow_Cr],FII_DII_raw_synthetic_Jan_Jun2026[Week_Num],$A8,FII_DII_raw_synthetic_Jan_Jun2026[Entity_Type],"FII",FII_DII_raw_synthetic_Jan_Jun2026[Sector],E$1)</f>
        <v>214.57</v>
      </c>
      <c r="F8">
        <f>SUMIFS(FII_DII_raw_synthetic_Jan_Jun2026[Net_Flow_Cr],FII_DII_raw_synthetic_Jan_Jun2026[Week_Num],$A8,FII_DII_raw_synthetic_Jan_Jun2026[Entity_Type],"FII",FII_DII_raw_synthetic_Jan_Jun2026[Sector],F$1)</f>
        <v>-931.73</v>
      </c>
      <c r="G8">
        <f>SUMIFS(FII_DII_raw_synthetic_Jan_Jun2026[Net_Flow_Cr],FII_DII_raw_synthetic_Jan_Jun2026[Week_Num],$A8,FII_DII_raw_synthetic_Jan_Jun2026[Entity_Type],"FII",FII_DII_raw_synthetic_Jan_Jun2026[Sector],G$1)</f>
        <v>-930.01</v>
      </c>
      <c r="H8">
        <f>SUMIFS(FII_DII_raw_synthetic_Jan_Jun2026[Net_Flow_Cr],FII_DII_raw_synthetic_Jan_Jun2026[Week_Num],$A8,FII_DII_raw_synthetic_Jan_Jun2026[Entity_Type],"FII",FII_DII_raw_synthetic_Jan_Jun2026[Sector],H$1)</f>
        <v>460.98</v>
      </c>
      <c r="I8">
        <f>SUMIFS(FII_DII_raw_synthetic_Jan_Jun2026[Net_Flow_Cr],FII_DII_raw_synthetic_Jan_Jun2026[Week_Num],$A8,FII_DII_raw_synthetic_Jan_Jun2026[Entity_Type],"FII",FII_DII_raw_synthetic_Jan_Jun2026[Sector],I$1)</f>
        <v>2410.2399999999998</v>
      </c>
      <c r="J8">
        <f>SUMIFS(FII_DII_raw_synthetic_Jan_Jun2026[Net_Flow_Cr],FII_DII_raw_synthetic_Jan_Jun2026[Week_Num],$A8,FII_DII_raw_synthetic_Jan_Jun2026[Entity_Type],"FII",FII_DII_raw_synthetic_Jan_Jun2026[Sector],J$1)</f>
        <v>2136.27</v>
      </c>
      <c r="K8">
        <f>SUMIFS(FII_DII_raw_synthetic_Jan_Jun2026[Net_Flow_Cr],FII_DII_raw_synthetic_Jan_Jun2026[Week_Num],$A8,FII_DII_raw_synthetic_Jan_Jun2026[Entity_Type],"FII",FII_DII_raw_synthetic_Jan_Jun2026[Sector],K$1)</f>
        <v>0</v>
      </c>
    </row>
    <row r="9" spans="1:11">
      <c r="A9">
        <v>8</v>
      </c>
      <c r="B9">
        <f>SUMIFS(FII_DII_raw_synthetic_Jan_Jun2026[Net_Flow_Cr],FII_DII_raw_synthetic_Jan_Jun2026[Week_Num],$A9,FII_DII_raw_synthetic_Jan_Jun2026[Entity_Type],"FII",FII_DII_raw_synthetic_Jan_Jun2026[Sector],B$1)</f>
        <v>-641.33000000000004</v>
      </c>
      <c r="C9">
        <f>SUMIFS(FII_DII_raw_synthetic_Jan_Jun2026[Net_Flow_Cr],FII_DII_raw_synthetic_Jan_Jun2026[Week_Num],$A9,FII_DII_raw_synthetic_Jan_Jun2026[Entity_Type],"FII",FII_DII_raw_synthetic_Jan_Jun2026[Sector],C$1)</f>
        <v>0</v>
      </c>
      <c r="D9">
        <f>SUMIFS(FII_DII_raw_synthetic_Jan_Jun2026[Net_Flow_Cr],FII_DII_raw_synthetic_Jan_Jun2026[Week_Num],$A9,FII_DII_raw_synthetic_Jan_Jun2026[Entity_Type],"FII",FII_DII_raw_synthetic_Jan_Jun2026[Sector],D$1)</f>
        <v>941.04</v>
      </c>
      <c r="E9">
        <f>SUMIFS(FII_DII_raw_synthetic_Jan_Jun2026[Net_Flow_Cr],FII_DII_raw_synthetic_Jan_Jun2026[Week_Num],$A9,FII_DII_raw_synthetic_Jan_Jun2026[Entity_Type],"FII",FII_DII_raw_synthetic_Jan_Jun2026[Sector],E$1)</f>
        <v>2412.42</v>
      </c>
      <c r="F9">
        <f>SUMIFS(FII_DII_raw_synthetic_Jan_Jun2026[Net_Flow_Cr],FII_DII_raw_synthetic_Jan_Jun2026[Week_Num],$A9,FII_DII_raw_synthetic_Jan_Jun2026[Entity_Type],"FII",FII_DII_raw_synthetic_Jan_Jun2026[Sector],F$1)</f>
        <v>-640.91999999999996</v>
      </c>
      <c r="G9">
        <f>SUMIFS(FII_DII_raw_synthetic_Jan_Jun2026[Net_Flow_Cr],FII_DII_raw_synthetic_Jan_Jun2026[Week_Num],$A9,FII_DII_raw_synthetic_Jan_Jun2026[Entity_Type],"FII",FII_DII_raw_synthetic_Jan_Jun2026[Sector],G$1)</f>
        <v>59.31</v>
      </c>
      <c r="H9">
        <f>SUMIFS(FII_DII_raw_synthetic_Jan_Jun2026[Net_Flow_Cr],FII_DII_raw_synthetic_Jan_Jun2026[Week_Num],$A9,FII_DII_raw_synthetic_Jan_Jun2026[Entity_Type],"FII",FII_DII_raw_synthetic_Jan_Jun2026[Sector],H$1)</f>
        <v>585.2700000000001</v>
      </c>
      <c r="I9">
        <f>SUMIFS(FII_DII_raw_synthetic_Jan_Jun2026[Net_Flow_Cr],FII_DII_raw_synthetic_Jan_Jun2026[Week_Num],$A9,FII_DII_raw_synthetic_Jan_Jun2026[Entity_Type],"FII",FII_DII_raw_synthetic_Jan_Jun2026[Sector],I$1)</f>
        <v>-268.95</v>
      </c>
      <c r="J9">
        <f>SUMIFS(FII_DII_raw_synthetic_Jan_Jun2026[Net_Flow_Cr],FII_DII_raw_synthetic_Jan_Jun2026[Week_Num],$A9,FII_DII_raw_synthetic_Jan_Jun2026[Entity_Type],"FII",FII_DII_raw_synthetic_Jan_Jun2026[Sector],J$1)</f>
        <v>-1187.28</v>
      </c>
      <c r="K9">
        <f>SUMIFS(FII_DII_raw_synthetic_Jan_Jun2026[Net_Flow_Cr],FII_DII_raw_synthetic_Jan_Jun2026[Week_Num],$A9,FII_DII_raw_synthetic_Jan_Jun2026[Entity_Type],"FII",FII_DII_raw_synthetic_Jan_Jun2026[Sector],K$1)</f>
        <v>-918.08</v>
      </c>
    </row>
    <row r="10" spans="1:11">
      <c r="A10">
        <v>9</v>
      </c>
      <c r="B10">
        <f>SUMIFS(FII_DII_raw_synthetic_Jan_Jun2026[Net_Flow_Cr],FII_DII_raw_synthetic_Jan_Jun2026[Week_Num],$A10,FII_DII_raw_synthetic_Jan_Jun2026[Entity_Type],"FII",FII_DII_raw_synthetic_Jan_Jun2026[Sector],B$1)</f>
        <v>80.930000000000007</v>
      </c>
      <c r="C10">
        <f>SUMIFS(FII_DII_raw_synthetic_Jan_Jun2026[Net_Flow_Cr],FII_DII_raw_synthetic_Jan_Jun2026[Week_Num],$A10,FII_DII_raw_synthetic_Jan_Jun2026[Entity_Type],"FII",FII_DII_raw_synthetic_Jan_Jun2026[Sector],C$1)</f>
        <v>1981.14</v>
      </c>
      <c r="D10">
        <f>SUMIFS(FII_DII_raw_synthetic_Jan_Jun2026[Net_Flow_Cr],FII_DII_raw_synthetic_Jan_Jun2026[Week_Num],$A10,FII_DII_raw_synthetic_Jan_Jun2026[Entity_Type],"FII",FII_DII_raw_synthetic_Jan_Jun2026[Sector],D$1)</f>
        <v>1040.32</v>
      </c>
      <c r="E10">
        <f>SUMIFS(FII_DII_raw_synthetic_Jan_Jun2026[Net_Flow_Cr],FII_DII_raw_synthetic_Jan_Jun2026[Week_Num],$A10,FII_DII_raw_synthetic_Jan_Jun2026[Entity_Type],"FII",FII_DII_raw_synthetic_Jan_Jun2026[Sector],E$1)</f>
        <v>1086.79</v>
      </c>
      <c r="F10">
        <f>SUMIFS(FII_DII_raw_synthetic_Jan_Jun2026[Net_Flow_Cr],FII_DII_raw_synthetic_Jan_Jun2026[Week_Num],$A10,FII_DII_raw_synthetic_Jan_Jun2026[Entity_Type],"FII",FII_DII_raw_synthetic_Jan_Jun2026[Sector],F$1)</f>
        <v>478.63</v>
      </c>
      <c r="G10">
        <f>SUMIFS(FII_DII_raw_synthetic_Jan_Jun2026[Net_Flow_Cr],FII_DII_raw_synthetic_Jan_Jun2026[Week_Num],$A10,FII_DII_raw_synthetic_Jan_Jun2026[Entity_Type],"FII",FII_DII_raw_synthetic_Jan_Jun2026[Sector],G$1)</f>
        <v>-1005.48</v>
      </c>
      <c r="H10">
        <f>SUMIFS(FII_DII_raw_synthetic_Jan_Jun2026[Net_Flow_Cr],FII_DII_raw_synthetic_Jan_Jun2026[Week_Num],$A10,FII_DII_raw_synthetic_Jan_Jun2026[Entity_Type],"FII",FII_DII_raw_synthetic_Jan_Jun2026[Sector],H$1)</f>
        <v>87.87</v>
      </c>
      <c r="I10">
        <f>SUMIFS(FII_DII_raw_synthetic_Jan_Jun2026[Net_Flow_Cr],FII_DII_raw_synthetic_Jan_Jun2026[Week_Num],$A10,FII_DII_raw_synthetic_Jan_Jun2026[Entity_Type],"FII",FII_DII_raw_synthetic_Jan_Jun2026[Sector],I$1)</f>
        <v>0</v>
      </c>
      <c r="J10">
        <f>SUMIFS(FII_DII_raw_synthetic_Jan_Jun2026[Net_Flow_Cr],FII_DII_raw_synthetic_Jan_Jun2026[Week_Num],$A10,FII_DII_raw_synthetic_Jan_Jun2026[Entity_Type],"FII",FII_DII_raw_synthetic_Jan_Jun2026[Sector],J$1)</f>
        <v>0</v>
      </c>
      <c r="K10">
        <f>SUMIFS(FII_DII_raw_synthetic_Jan_Jun2026[Net_Flow_Cr],FII_DII_raw_synthetic_Jan_Jun2026[Week_Num],$A10,FII_DII_raw_synthetic_Jan_Jun2026[Entity_Type],"FII",FII_DII_raw_synthetic_Jan_Jun2026[Sector],K$1)</f>
        <v>3318.77</v>
      </c>
    </row>
    <row r="11" spans="1:11">
      <c r="A11">
        <v>10</v>
      </c>
      <c r="B11">
        <f>SUMIFS(FII_DII_raw_synthetic_Jan_Jun2026[Net_Flow_Cr],FII_DII_raw_synthetic_Jan_Jun2026[Week_Num],$A11,FII_DII_raw_synthetic_Jan_Jun2026[Entity_Type],"FII",FII_DII_raw_synthetic_Jan_Jun2026[Sector],B$1)</f>
        <v>1496.92</v>
      </c>
      <c r="C11">
        <f>SUMIFS(FII_DII_raw_synthetic_Jan_Jun2026[Net_Flow_Cr],FII_DII_raw_synthetic_Jan_Jun2026[Week_Num],$A11,FII_DII_raw_synthetic_Jan_Jun2026[Entity_Type],"FII",FII_DII_raw_synthetic_Jan_Jun2026[Sector],C$1)</f>
        <v>2204.48</v>
      </c>
      <c r="D11">
        <f>SUMIFS(FII_DII_raw_synthetic_Jan_Jun2026[Net_Flow_Cr],FII_DII_raw_synthetic_Jan_Jun2026[Week_Num],$A11,FII_DII_raw_synthetic_Jan_Jun2026[Entity_Type],"FII",FII_DII_raw_synthetic_Jan_Jun2026[Sector],D$1)</f>
        <v>-779.87</v>
      </c>
      <c r="E11">
        <f>SUMIFS(FII_DII_raw_synthetic_Jan_Jun2026[Net_Flow_Cr],FII_DII_raw_synthetic_Jan_Jun2026[Week_Num],$A11,FII_DII_raw_synthetic_Jan_Jun2026[Entity_Type],"FII",FII_DII_raw_synthetic_Jan_Jun2026[Sector],E$1)</f>
        <v>0</v>
      </c>
      <c r="F11">
        <f>SUMIFS(FII_DII_raw_synthetic_Jan_Jun2026[Net_Flow_Cr],FII_DII_raw_synthetic_Jan_Jun2026[Week_Num],$A11,FII_DII_raw_synthetic_Jan_Jun2026[Entity_Type],"FII",FII_DII_raw_synthetic_Jan_Jun2026[Sector],F$1)</f>
        <v>0</v>
      </c>
      <c r="G11">
        <f>SUMIFS(FII_DII_raw_synthetic_Jan_Jun2026[Net_Flow_Cr],FII_DII_raw_synthetic_Jan_Jun2026[Week_Num],$A11,FII_DII_raw_synthetic_Jan_Jun2026[Entity_Type],"FII",FII_DII_raw_synthetic_Jan_Jun2026[Sector],G$1)</f>
        <v>-1119.81</v>
      </c>
      <c r="H11">
        <f>SUMIFS(FII_DII_raw_synthetic_Jan_Jun2026[Net_Flow_Cr],FII_DII_raw_synthetic_Jan_Jun2026[Week_Num],$A11,FII_DII_raw_synthetic_Jan_Jun2026[Entity_Type],"FII",FII_DII_raw_synthetic_Jan_Jun2026[Sector],H$1)</f>
        <v>1521.6399999999999</v>
      </c>
      <c r="I11">
        <f>SUMIFS(FII_DII_raw_synthetic_Jan_Jun2026[Net_Flow_Cr],FII_DII_raw_synthetic_Jan_Jun2026[Week_Num],$A11,FII_DII_raw_synthetic_Jan_Jun2026[Entity_Type],"FII",FII_DII_raw_synthetic_Jan_Jun2026[Sector],I$1)</f>
        <v>0</v>
      </c>
      <c r="J11">
        <f>SUMIFS(FII_DII_raw_synthetic_Jan_Jun2026[Net_Flow_Cr],FII_DII_raw_synthetic_Jan_Jun2026[Week_Num],$A11,FII_DII_raw_synthetic_Jan_Jun2026[Entity_Type],"FII",FII_DII_raw_synthetic_Jan_Jun2026[Sector],J$1)</f>
        <v>899.56999999999994</v>
      </c>
      <c r="K11">
        <f>SUMIFS(FII_DII_raw_synthetic_Jan_Jun2026[Net_Flow_Cr],FII_DII_raw_synthetic_Jan_Jun2026[Week_Num],$A11,FII_DII_raw_synthetic_Jan_Jun2026[Entity_Type],"FII",FII_DII_raw_synthetic_Jan_Jun2026[Sector],K$1)</f>
        <v>-885.76</v>
      </c>
    </row>
    <row r="12" spans="1:11">
      <c r="A12">
        <v>11</v>
      </c>
      <c r="B12">
        <f>SUMIFS(FII_DII_raw_synthetic_Jan_Jun2026[Net_Flow_Cr],FII_DII_raw_synthetic_Jan_Jun2026[Week_Num],$A12,FII_DII_raw_synthetic_Jan_Jun2026[Entity_Type],"FII",FII_DII_raw_synthetic_Jan_Jun2026[Sector],B$1)</f>
        <v>658.55</v>
      </c>
      <c r="C12">
        <f>SUMIFS(FII_DII_raw_synthetic_Jan_Jun2026[Net_Flow_Cr],FII_DII_raw_synthetic_Jan_Jun2026[Week_Num],$A12,FII_DII_raw_synthetic_Jan_Jun2026[Entity_Type],"FII",FII_DII_raw_synthetic_Jan_Jun2026[Sector],C$1)</f>
        <v>-193.71</v>
      </c>
      <c r="D12">
        <f>SUMIFS(FII_DII_raw_synthetic_Jan_Jun2026[Net_Flow_Cr],FII_DII_raw_synthetic_Jan_Jun2026[Week_Num],$A12,FII_DII_raw_synthetic_Jan_Jun2026[Entity_Type],"FII",FII_DII_raw_synthetic_Jan_Jun2026[Sector],D$1)</f>
        <v>316.03999999999996</v>
      </c>
      <c r="E12">
        <f>SUMIFS(FII_DII_raw_synthetic_Jan_Jun2026[Net_Flow_Cr],FII_DII_raw_synthetic_Jan_Jun2026[Week_Num],$A12,FII_DII_raw_synthetic_Jan_Jun2026[Entity_Type],"FII",FII_DII_raw_synthetic_Jan_Jun2026[Sector],E$1)</f>
        <v>2296.13</v>
      </c>
      <c r="F12">
        <f>SUMIFS(FII_DII_raw_synthetic_Jan_Jun2026[Net_Flow_Cr],FII_DII_raw_synthetic_Jan_Jun2026[Week_Num],$A12,FII_DII_raw_synthetic_Jan_Jun2026[Entity_Type],"FII",FII_DII_raw_synthetic_Jan_Jun2026[Sector],F$1)</f>
        <v>0</v>
      </c>
      <c r="G12">
        <f>SUMIFS(FII_DII_raw_synthetic_Jan_Jun2026[Net_Flow_Cr],FII_DII_raw_synthetic_Jan_Jun2026[Week_Num],$A12,FII_DII_raw_synthetic_Jan_Jun2026[Entity_Type],"FII",FII_DII_raw_synthetic_Jan_Jun2026[Sector],G$1)</f>
        <v>1784.25</v>
      </c>
      <c r="H12">
        <f>SUMIFS(FII_DII_raw_synthetic_Jan_Jun2026[Net_Flow_Cr],FII_DII_raw_synthetic_Jan_Jun2026[Week_Num],$A12,FII_DII_raw_synthetic_Jan_Jun2026[Entity_Type],"FII",FII_DII_raw_synthetic_Jan_Jun2026[Sector],H$1)</f>
        <v>762.48</v>
      </c>
      <c r="I12">
        <f>SUMIFS(FII_DII_raw_synthetic_Jan_Jun2026[Net_Flow_Cr],FII_DII_raw_synthetic_Jan_Jun2026[Week_Num],$A12,FII_DII_raw_synthetic_Jan_Jun2026[Entity_Type],"FII",FII_DII_raw_synthetic_Jan_Jun2026[Sector],I$1)</f>
        <v>-147</v>
      </c>
      <c r="J12">
        <f>SUMIFS(FII_DII_raw_synthetic_Jan_Jun2026[Net_Flow_Cr],FII_DII_raw_synthetic_Jan_Jun2026[Week_Num],$A12,FII_DII_raw_synthetic_Jan_Jun2026[Entity_Type],"FII",FII_DII_raw_synthetic_Jan_Jun2026[Sector],J$1)</f>
        <v>832.02</v>
      </c>
      <c r="K12">
        <f>SUMIFS(FII_DII_raw_synthetic_Jan_Jun2026[Net_Flow_Cr],FII_DII_raw_synthetic_Jan_Jun2026[Week_Num],$A12,FII_DII_raw_synthetic_Jan_Jun2026[Entity_Type],"FII",FII_DII_raw_synthetic_Jan_Jun2026[Sector],K$1)</f>
        <v>21.729999999999905</v>
      </c>
    </row>
    <row r="13" spans="1:11">
      <c r="A13">
        <v>12</v>
      </c>
      <c r="B13">
        <f>SUMIFS(FII_DII_raw_synthetic_Jan_Jun2026[Net_Flow_Cr],FII_DII_raw_synthetic_Jan_Jun2026[Week_Num],$A13,FII_DII_raw_synthetic_Jan_Jun2026[Entity_Type],"FII",FII_DII_raw_synthetic_Jan_Jun2026[Sector],B$1)</f>
        <v>-200.95999999999998</v>
      </c>
      <c r="C13">
        <f>SUMIFS(FII_DII_raw_synthetic_Jan_Jun2026[Net_Flow_Cr],FII_DII_raw_synthetic_Jan_Jun2026[Week_Num],$A13,FII_DII_raw_synthetic_Jan_Jun2026[Entity_Type],"FII",FII_DII_raw_synthetic_Jan_Jun2026[Sector],C$1)</f>
        <v>-3127.9700000000003</v>
      </c>
      <c r="D13">
        <f>SUMIFS(FII_DII_raw_synthetic_Jan_Jun2026[Net_Flow_Cr],FII_DII_raw_synthetic_Jan_Jun2026[Week_Num],$A13,FII_DII_raw_synthetic_Jan_Jun2026[Entity_Type],"FII",FII_DII_raw_synthetic_Jan_Jun2026[Sector],D$1)</f>
        <v>1074.68</v>
      </c>
      <c r="E13">
        <f>SUMIFS(FII_DII_raw_synthetic_Jan_Jun2026[Net_Flow_Cr],FII_DII_raw_synthetic_Jan_Jun2026[Week_Num],$A13,FII_DII_raw_synthetic_Jan_Jun2026[Entity_Type],"FII",FII_DII_raw_synthetic_Jan_Jun2026[Sector],E$1)</f>
        <v>-1402.73</v>
      </c>
      <c r="F13">
        <f>SUMIFS(FII_DII_raw_synthetic_Jan_Jun2026[Net_Flow_Cr],FII_DII_raw_synthetic_Jan_Jun2026[Week_Num],$A13,FII_DII_raw_synthetic_Jan_Jun2026[Entity_Type],"FII",FII_DII_raw_synthetic_Jan_Jun2026[Sector],F$1)</f>
        <v>-1623.35</v>
      </c>
      <c r="G13">
        <f>SUMIFS(FII_DII_raw_synthetic_Jan_Jun2026[Net_Flow_Cr],FII_DII_raw_synthetic_Jan_Jun2026[Week_Num],$A13,FII_DII_raw_synthetic_Jan_Jun2026[Entity_Type],"FII",FII_DII_raw_synthetic_Jan_Jun2026[Sector],G$1)</f>
        <v>0</v>
      </c>
      <c r="H13">
        <f>SUMIFS(FII_DII_raw_synthetic_Jan_Jun2026[Net_Flow_Cr],FII_DII_raw_synthetic_Jan_Jun2026[Week_Num],$A13,FII_DII_raw_synthetic_Jan_Jun2026[Entity_Type],"FII",FII_DII_raw_synthetic_Jan_Jun2026[Sector],H$1)</f>
        <v>-1662.52</v>
      </c>
      <c r="I13">
        <f>SUMIFS(FII_DII_raw_synthetic_Jan_Jun2026[Net_Flow_Cr],FII_DII_raw_synthetic_Jan_Jun2026[Week_Num],$A13,FII_DII_raw_synthetic_Jan_Jun2026[Entity_Type],"FII",FII_DII_raw_synthetic_Jan_Jun2026[Sector],I$1)</f>
        <v>-810.24</v>
      </c>
      <c r="J13">
        <f>SUMIFS(FII_DII_raw_synthetic_Jan_Jun2026[Net_Flow_Cr],FII_DII_raw_synthetic_Jan_Jun2026[Week_Num],$A13,FII_DII_raw_synthetic_Jan_Jun2026[Entity_Type],"FII",FII_DII_raw_synthetic_Jan_Jun2026[Sector],J$1)</f>
        <v>-1007.16</v>
      </c>
      <c r="K13">
        <f>SUMIFS(FII_DII_raw_synthetic_Jan_Jun2026[Net_Flow_Cr],FII_DII_raw_synthetic_Jan_Jun2026[Week_Num],$A13,FII_DII_raw_synthetic_Jan_Jun2026[Entity_Type],"FII",FII_DII_raw_synthetic_Jan_Jun2026[Sector],K$1)</f>
        <v>-473.98</v>
      </c>
    </row>
    <row r="14" spans="1:11">
      <c r="A14">
        <v>13</v>
      </c>
      <c r="B14">
        <f>SUMIFS(FII_DII_raw_synthetic_Jan_Jun2026[Net_Flow_Cr],FII_DII_raw_synthetic_Jan_Jun2026[Week_Num],$A14,FII_DII_raw_synthetic_Jan_Jun2026[Entity_Type],"FII",FII_DII_raw_synthetic_Jan_Jun2026[Sector],B$1)</f>
        <v>0</v>
      </c>
      <c r="C14">
        <f>SUMIFS(FII_DII_raw_synthetic_Jan_Jun2026[Net_Flow_Cr],FII_DII_raw_synthetic_Jan_Jun2026[Week_Num],$A14,FII_DII_raw_synthetic_Jan_Jun2026[Entity_Type],"FII",FII_DII_raw_synthetic_Jan_Jun2026[Sector],C$1)</f>
        <v>243.43999999999994</v>
      </c>
      <c r="D14">
        <f>SUMIFS(FII_DII_raw_synthetic_Jan_Jun2026[Net_Flow_Cr],FII_DII_raw_synthetic_Jan_Jun2026[Week_Num],$A14,FII_DII_raw_synthetic_Jan_Jun2026[Entity_Type],"FII",FII_DII_raw_synthetic_Jan_Jun2026[Sector],D$1)</f>
        <v>-54.14</v>
      </c>
      <c r="E14">
        <f>SUMIFS(FII_DII_raw_synthetic_Jan_Jun2026[Net_Flow_Cr],FII_DII_raw_synthetic_Jan_Jun2026[Week_Num],$A14,FII_DII_raw_synthetic_Jan_Jun2026[Entity_Type],"FII",FII_DII_raw_synthetic_Jan_Jun2026[Sector],E$1)</f>
        <v>1107.96</v>
      </c>
      <c r="F14">
        <f>SUMIFS(FII_DII_raw_synthetic_Jan_Jun2026[Net_Flow_Cr],FII_DII_raw_synthetic_Jan_Jun2026[Week_Num],$A14,FII_DII_raw_synthetic_Jan_Jun2026[Entity_Type],"FII",FII_DII_raw_synthetic_Jan_Jun2026[Sector],F$1)</f>
        <v>-54.51</v>
      </c>
      <c r="G14">
        <f>SUMIFS(FII_DII_raw_synthetic_Jan_Jun2026[Net_Flow_Cr],FII_DII_raw_synthetic_Jan_Jun2026[Week_Num],$A14,FII_DII_raw_synthetic_Jan_Jun2026[Entity_Type],"FII",FII_DII_raw_synthetic_Jan_Jun2026[Sector],G$1)</f>
        <v>-537.63000000000011</v>
      </c>
      <c r="H14">
        <f>SUMIFS(FII_DII_raw_synthetic_Jan_Jun2026[Net_Flow_Cr],FII_DII_raw_synthetic_Jan_Jun2026[Week_Num],$A14,FII_DII_raw_synthetic_Jan_Jun2026[Entity_Type],"FII",FII_DII_raw_synthetic_Jan_Jun2026[Sector],H$1)</f>
        <v>-72.400000000000091</v>
      </c>
      <c r="I14">
        <f>SUMIFS(FII_DII_raw_synthetic_Jan_Jun2026[Net_Flow_Cr],FII_DII_raw_synthetic_Jan_Jun2026[Week_Num],$A14,FII_DII_raw_synthetic_Jan_Jun2026[Entity_Type],"FII",FII_DII_raw_synthetic_Jan_Jun2026[Sector],I$1)</f>
        <v>1594.41</v>
      </c>
      <c r="J14">
        <f>SUMIFS(FII_DII_raw_synthetic_Jan_Jun2026[Net_Flow_Cr],FII_DII_raw_synthetic_Jan_Jun2026[Week_Num],$A14,FII_DII_raw_synthetic_Jan_Jun2026[Entity_Type],"FII",FII_DII_raw_synthetic_Jan_Jun2026[Sector],J$1)</f>
        <v>0</v>
      </c>
      <c r="K14">
        <f>SUMIFS(FII_DII_raw_synthetic_Jan_Jun2026[Net_Flow_Cr],FII_DII_raw_synthetic_Jan_Jun2026[Week_Num],$A14,FII_DII_raw_synthetic_Jan_Jun2026[Entity_Type],"FII",FII_DII_raw_synthetic_Jan_Jun2026[Sector],K$1)</f>
        <v>139.61000000000001</v>
      </c>
    </row>
    <row r="15" spans="1:11">
      <c r="A15">
        <v>14</v>
      </c>
      <c r="B15">
        <f>SUMIFS(FII_DII_raw_synthetic_Jan_Jun2026[Net_Flow_Cr],FII_DII_raw_synthetic_Jan_Jun2026[Week_Num],$A15,FII_DII_raw_synthetic_Jan_Jun2026[Entity_Type],"FII",FII_DII_raw_synthetic_Jan_Jun2026[Sector],B$1)</f>
        <v>-378.6</v>
      </c>
      <c r="C15">
        <f>SUMIFS(FII_DII_raw_synthetic_Jan_Jun2026[Net_Flow_Cr],FII_DII_raw_synthetic_Jan_Jun2026[Week_Num],$A15,FII_DII_raw_synthetic_Jan_Jun2026[Entity_Type],"FII",FII_DII_raw_synthetic_Jan_Jun2026[Sector],C$1)</f>
        <v>1056.93</v>
      </c>
      <c r="D15">
        <f>SUMIFS(FII_DII_raw_synthetic_Jan_Jun2026[Net_Flow_Cr],FII_DII_raw_synthetic_Jan_Jun2026[Week_Num],$A15,FII_DII_raw_synthetic_Jan_Jun2026[Entity_Type],"FII",FII_DII_raw_synthetic_Jan_Jun2026[Sector],D$1)</f>
        <v>-1029.1400000000001</v>
      </c>
      <c r="E15">
        <f>SUMIFS(FII_DII_raw_synthetic_Jan_Jun2026[Net_Flow_Cr],FII_DII_raw_synthetic_Jan_Jun2026[Week_Num],$A15,FII_DII_raw_synthetic_Jan_Jun2026[Entity_Type],"FII",FII_DII_raw_synthetic_Jan_Jun2026[Sector],E$1)</f>
        <v>2406.4899999999998</v>
      </c>
      <c r="F15">
        <f>SUMIFS(FII_DII_raw_synthetic_Jan_Jun2026[Net_Flow_Cr],FII_DII_raw_synthetic_Jan_Jun2026[Week_Num],$A15,FII_DII_raw_synthetic_Jan_Jun2026[Entity_Type],"FII",FII_DII_raw_synthetic_Jan_Jun2026[Sector],F$1)</f>
        <v>172.71</v>
      </c>
      <c r="G15">
        <f>SUMIFS(FII_DII_raw_synthetic_Jan_Jun2026[Net_Flow_Cr],FII_DII_raw_synthetic_Jan_Jun2026[Week_Num],$A15,FII_DII_raw_synthetic_Jan_Jun2026[Entity_Type],"FII",FII_DII_raw_synthetic_Jan_Jun2026[Sector],G$1)</f>
        <v>0</v>
      </c>
      <c r="H15">
        <f>SUMIFS(FII_DII_raw_synthetic_Jan_Jun2026[Net_Flow_Cr],FII_DII_raw_synthetic_Jan_Jun2026[Week_Num],$A15,FII_DII_raw_synthetic_Jan_Jun2026[Entity_Type],"FII",FII_DII_raw_synthetic_Jan_Jun2026[Sector],H$1)</f>
        <v>46.11</v>
      </c>
      <c r="I15">
        <f>SUMIFS(FII_DII_raw_synthetic_Jan_Jun2026[Net_Flow_Cr],FII_DII_raw_synthetic_Jan_Jun2026[Week_Num],$A15,FII_DII_raw_synthetic_Jan_Jun2026[Entity_Type],"FII",FII_DII_raw_synthetic_Jan_Jun2026[Sector],I$1)</f>
        <v>0</v>
      </c>
      <c r="J15">
        <f>SUMIFS(FII_DII_raw_synthetic_Jan_Jun2026[Net_Flow_Cr],FII_DII_raw_synthetic_Jan_Jun2026[Week_Num],$A15,FII_DII_raw_synthetic_Jan_Jun2026[Entity_Type],"FII",FII_DII_raw_synthetic_Jan_Jun2026[Sector],J$1)</f>
        <v>-414.52000000000004</v>
      </c>
      <c r="K15">
        <f>SUMIFS(FII_DII_raw_synthetic_Jan_Jun2026[Net_Flow_Cr],FII_DII_raw_synthetic_Jan_Jun2026[Week_Num],$A15,FII_DII_raw_synthetic_Jan_Jun2026[Entity_Type],"FII",FII_DII_raw_synthetic_Jan_Jun2026[Sector],K$1)</f>
        <v>1047.2</v>
      </c>
    </row>
    <row r="16" spans="1:11">
      <c r="A16">
        <v>15</v>
      </c>
      <c r="B16">
        <f>SUMIFS(FII_DII_raw_synthetic_Jan_Jun2026[Net_Flow_Cr],FII_DII_raw_synthetic_Jan_Jun2026[Week_Num],$A16,FII_DII_raw_synthetic_Jan_Jun2026[Entity_Type],"FII",FII_DII_raw_synthetic_Jan_Jun2026[Sector],B$1)</f>
        <v>-679.98</v>
      </c>
      <c r="C16">
        <f>SUMIFS(FII_DII_raw_synthetic_Jan_Jun2026[Net_Flow_Cr],FII_DII_raw_synthetic_Jan_Jun2026[Week_Num],$A16,FII_DII_raw_synthetic_Jan_Jun2026[Entity_Type],"FII",FII_DII_raw_synthetic_Jan_Jun2026[Sector],C$1)</f>
        <v>742.9</v>
      </c>
      <c r="D16">
        <f>SUMIFS(FII_DII_raw_synthetic_Jan_Jun2026[Net_Flow_Cr],FII_DII_raw_synthetic_Jan_Jun2026[Week_Num],$A16,FII_DII_raw_synthetic_Jan_Jun2026[Entity_Type],"FII",FII_DII_raw_synthetic_Jan_Jun2026[Sector],D$1)</f>
        <v>90.77000000000001</v>
      </c>
      <c r="E16">
        <f>SUMIFS(FII_DII_raw_synthetic_Jan_Jun2026[Net_Flow_Cr],FII_DII_raw_synthetic_Jan_Jun2026[Week_Num],$A16,FII_DII_raw_synthetic_Jan_Jun2026[Entity_Type],"FII",FII_DII_raw_synthetic_Jan_Jun2026[Sector],E$1)</f>
        <v>739.62</v>
      </c>
      <c r="F16">
        <f>SUMIFS(FII_DII_raw_synthetic_Jan_Jun2026[Net_Flow_Cr],FII_DII_raw_synthetic_Jan_Jun2026[Week_Num],$A16,FII_DII_raw_synthetic_Jan_Jun2026[Entity_Type],"FII",FII_DII_raw_synthetic_Jan_Jun2026[Sector],F$1)</f>
        <v>1623.87</v>
      </c>
      <c r="G16">
        <f>SUMIFS(FII_DII_raw_synthetic_Jan_Jun2026[Net_Flow_Cr],FII_DII_raw_synthetic_Jan_Jun2026[Week_Num],$A16,FII_DII_raw_synthetic_Jan_Jun2026[Entity_Type],"FII",FII_DII_raw_synthetic_Jan_Jun2026[Sector],G$1)</f>
        <v>1361.3100000000002</v>
      </c>
      <c r="H16">
        <f>SUMIFS(FII_DII_raw_synthetic_Jan_Jun2026[Net_Flow_Cr],FII_DII_raw_synthetic_Jan_Jun2026[Week_Num],$A16,FII_DII_raw_synthetic_Jan_Jun2026[Entity_Type],"FII",FII_DII_raw_synthetic_Jan_Jun2026[Sector],H$1)</f>
        <v>427.34999999999991</v>
      </c>
      <c r="I16">
        <f>SUMIFS(FII_DII_raw_synthetic_Jan_Jun2026[Net_Flow_Cr],FII_DII_raw_synthetic_Jan_Jun2026[Week_Num],$A16,FII_DII_raw_synthetic_Jan_Jun2026[Entity_Type],"FII",FII_DII_raw_synthetic_Jan_Jun2026[Sector],I$1)</f>
        <v>-112.22000000000003</v>
      </c>
      <c r="J16">
        <f>SUMIFS(FII_DII_raw_synthetic_Jan_Jun2026[Net_Flow_Cr],FII_DII_raw_synthetic_Jan_Jun2026[Week_Num],$A16,FII_DII_raw_synthetic_Jan_Jun2026[Entity_Type],"FII",FII_DII_raw_synthetic_Jan_Jun2026[Sector],J$1)</f>
        <v>-1028.44</v>
      </c>
      <c r="K16">
        <f>SUMIFS(FII_DII_raw_synthetic_Jan_Jun2026[Net_Flow_Cr],FII_DII_raw_synthetic_Jan_Jun2026[Week_Num],$A16,FII_DII_raw_synthetic_Jan_Jun2026[Entity_Type],"FII",FII_DII_raw_synthetic_Jan_Jun2026[Sector],K$1)</f>
        <v>1284.24</v>
      </c>
    </row>
    <row r="17" spans="1:11">
      <c r="A17">
        <v>16</v>
      </c>
      <c r="B17">
        <f>SUMIFS(FII_DII_raw_synthetic_Jan_Jun2026[Net_Flow_Cr],FII_DII_raw_synthetic_Jan_Jun2026[Week_Num],$A17,FII_DII_raw_synthetic_Jan_Jun2026[Entity_Type],"FII",FII_DII_raw_synthetic_Jan_Jun2026[Sector],B$1)</f>
        <v>0</v>
      </c>
      <c r="C17">
        <f>SUMIFS(FII_DII_raw_synthetic_Jan_Jun2026[Net_Flow_Cr],FII_DII_raw_synthetic_Jan_Jun2026[Week_Num],$A17,FII_DII_raw_synthetic_Jan_Jun2026[Entity_Type],"FII",FII_DII_raw_synthetic_Jan_Jun2026[Sector],C$1)</f>
        <v>1536.66</v>
      </c>
      <c r="D17">
        <f>SUMIFS(FII_DII_raw_synthetic_Jan_Jun2026[Net_Flow_Cr],FII_DII_raw_synthetic_Jan_Jun2026[Week_Num],$A17,FII_DII_raw_synthetic_Jan_Jun2026[Entity_Type],"FII",FII_DII_raw_synthetic_Jan_Jun2026[Sector],D$1)</f>
        <v>-152.44</v>
      </c>
      <c r="E17">
        <f>SUMIFS(FII_DII_raw_synthetic_Jan_Jun2026[Net_Flow_Cr],FII_DII_raw_synthetic_Jan_Jun2026[Week_Num],$A17,FII_DII_raw_synthetic_Jan_Jun2026[Entity_Type],"FII",FII_DII_raw_synthetic_Jan_Jun2026[Sector],E$1)</f>
        <v>0</v>
      </c>
      <c r="F17">
        <f>SUMIFS(FII_DII_raw_synthetic_Jan_Jun2026[Net_Flow_Cr],FII_DII_raw_synthetic_Jan_Jun2026[Week_Num],$A17,FII_DII_raw_synthetic_Jan_Jun2026[Entity_Type],"FII",FII_DII_raw_synthetic_Jan_Jun2026[Sector],F$1)</f>
        <v>-1221.78</v>
      </c>
      <c r="G17">
        <f>SUMIFS(FII_DII_raw_synthetic_Jan_Jun2026[Net_Flow_Cr],FII_DII_raw_synthetic_Jan_Jun2026[Week_Num],$A17,FII_DII_raw_synthetic_Jan_Jun2026[Entity_Type],"FII",FII_DII_raw_synthetic_Jan_Jun2026[Sector],G$1)</f>
        <v>-818.90000000000009</v>
      </c>
      <c r="H17">
        <f>SUMIFS(FII_DII_raw_synthetic_Jan_Jun2026[Net_Flow_Cr],FII_DII_raw_synthetic_Jan_Jun2026[Week_Num],$A17,FII_DII_raw_synthetic_Jan_Jun2026[Entity_Type],"FII",FII_DII_raw_synthetic_Jan_Jun2026[Sector],H$1)</f>
        <v>866.92000000000007</v>
      </c>
      <c r="I17">
        <f>SUMIFS(FII_DII_raw_synthetic_Jan_Jun2026[Net_Flow_Cr],FII_DII_raw_synthetic_Jan_Jun2026[Week_Num],$A17,FII_DII_raw_synthetic_Jan_Jun2026[Entity_Type],"FII",FII_DII_raw_synthetic_Jan_Jun2026[Sector],I$1)</f>
        <v>1535.94</v>
      </c>
      <c r="J17">
        <f>SUMIFS(FII_DII_raw_synthetic_Jan_Jun2026[Net_Flow_Cr],FII_DII_raw_synthetic_Jan_Jun2026[Week_Num],$A17,FII_DII_raw_synthetic_Jan_Jun2026[Entity_Type],"FII",FII_DII_raw_synthetic_Jan_Jun2026[Sector],J$1)</f>
        <v>1191.75</v>
      </c>
      <c r="K17">
        <f>SUMIFS(FII_DII_raw_synthetic_Jan_Jun2026[Net_Flow_Cr],FII_DII_raw_synthetic_Jan_Jun2026[Week_Num],$A17,FII_DII_raw_synthetic_Jan_Jun2026[Entity_Type],"FII",FII_DII_raw_synthetic_Jan_Jun2026[Sector],K$1)</f>
        <v>878.6</v>
      </c>
    </row>
    <row r="18" spans="1:11">
      <c r="A18">
        <v>17</v>
      </c>
      <c r="B18">
        <f>SUMIFS(FII_DII_raw_synthetic_Jan_Jun2026[Net_Flow_Cr],FII_DII_raw_synthetic_Jan_Jun2026[Week_Num],$A18,FII_DII_raw_synthetic_Jan_Jun2026[Entity_Type],"FII",FII_DII_raw_synthetic_Jan_Jun2026[Sector],B$1)</f>
        <v>-923.33</v>
      </c>
      <c r="C18">
        <f>SUMIFS(FII_DII_raw_synthetic_Jan_Jun2026[Net_Flow_Cr],FII_DII_raw_synthetic_Jan_Jun2026[Week_Num],$A18,FII_DII_raw_synthetic_Jan_Jun2026[Entity_Type],"FII",FII_DII_raw_synthetic_Jan_Jun2026[Sector],C$1)</f>
        <v>-3031.39</v>
      </c>
      <c r="D18">
        <f>SUMIFS(FII_DII_raw_synthetic_Jan_Jun2026[Net_Flow_Cr],FII_DII_raw_synthetic_Jan_Jun2026[Week_Num],$A18,FII_DII_raw_synthetic_Jan_Jun2026[Entity_Type],"FII",FII_DII_raw_synthetic_Jan_Jun2026[Sector],D$1)</f>
        <v>104.69999999999993</v>
      </c>
      <c r="E18">
        <f>SUMIFS(FII_DII_raw_synthetic_Jan_Jun2026[Net_Flow_Cr],FII_DII_raw_synthetic_Jan_Jun2026[Week_Num],$A18,FII_DII_raw_synthetic_Jan_Jun2026[Entity_Type],"FII",FII_DII_raw_synthetic_Jan_Jun2026[Sector],E$1)</f>
        <v>934.04000000000008</v>
      </c>
      <c r="F18">
        <f>SUMIFS(FII_DII_raw_synthetic_Jan_Jun2026[Net_Flow_Cr],FII_DII_raw_synthetic_Jan_Jun2026[Week_Num],$A18,FII_DII_raw_synthetic_Jan_Jun2026[Entity_Type],"FII",FII_DII_raw_synthetic_Jan_Jun2026[Sector],F$1)</f>
        <v>-1208.98</v>
      </c>
      <c r="G18">
        <f>SUMIFS(FII_DII_raw_synthetic_Jan_Jun2026[Net_Flow_Cr],FII_DII_raw_synthetic_Jan_Jun2026[Week_Num],$A18,FII_DII_raw_synthetic_Jan_Jun2026[Entity_Type],"FII",FII_DII_raw_synthetic_Jan_Jun2026[Sector],G$1)</f>
        <v>-54.2</v>
      </c>
      <c r="H18">
        <f>SUMIFS(FII_DII_raw_synthetic_Jan_Jun2026[Net_Flow_Cr],FII_DII_raw_synthetic_Jan_Jun2026[Week_Num],$A18,FII_DII_raw_synthetic_Jan_Jun2026[Entity_Type],"FII",FII_DII_raw_synthetic_Jan_Jun2026[Sector],H$1)</f>
        <v>759.3</v>
      </c>
      <c r="I18">
        <f>SUMIFS(FII_DII_raw_synthetic_Jan_Jun2026[Net_Flow_Cr],FII_DII_raw_synthetic_Jan_Jun2026[Week_Num],$A18,FII_DII_raw_synthetic_Jan_Jun2026[Entity_Type],"FII",FII_DII_raw_synthetic_Jan_Jun2026[Sector],I$1)</f>
        <v>702.36</v>
      </c>
      <c r="J18">
        <f>SUMIFS(FII_DII_raw_synthetic_Jan_Jun2026[Net_Flow_Cr],FII_DII_raw_synthetic_Jan_Jun2026[Week_Num],$A18,FII_DII_raw_synthetic_Jan_Jun2026[Entity_Type],"FII",FII_DII_raw_synthetic_Jan_Jun2026[Sector],J$1)</f>
        <v>-980.89999999999986</v>
      </c>
      <c r="K18">
        <f>SUMIFS(FII_DII_raw_synthetic_Jan_Jun2026[Net_Flow_Cr],FII_DII_raw_synthetic_Jan_Jun2026[Week_Num],$A18,FII_DII_raw_synthetic_Jan_Jun2026[Entity_Type],"FII",FII_DII_raw_synthetic_Jan_Jun2026[Sector],K$1)</f>
        <v>-219.02000000000021</v>
      </c>
    </row>
    <row r="19" spans="1:11">
      <c r="A19">
        <v>18</v>
      </c>
      <c r="B19">
        <f>SUMIFS(FII_DII_raw_synthetic_Jan_Jun2026[Net_Flow_Cr],FII_DII_raw_synthetic_Jan_Jun2026[Week_Num],$A19,FII_DII_raw_synthetic_Jan_Jun2026[Entity_Type],"FII",FII_DII_raw_synthetic_Jan_Jun2026[Sector],B$1)</f>
        <v>-498.45</v>
      </c>
      <c r="C19">
        <f>SUMIFS(FII_DII_raw_synthetic_Jan_Jun2026[Net_Flow_Cr],FII_DII_raw_synthetic_Jan_Jun2026[Week_Num],$A19,FII_DII_raw_synthetic_Jan_Jun2026[Entity_Type],"FII",FII_DII_raw_synthetic_Jan_Jun2026[Sector],C$1)</f>
        <v>-874.35</v>
      </c>
      <c r="D19">
        <f>SUMIFS(FII_DII_raw_synthetic_Jan_Jun2026[Net_Flow_Cr],FII_DII_raw_synthetic_Jan_Jun2026[Week_Num],$A19,FII_DII_raw_synthetic_Jan_Jun2026[Entity_Type],"FII",FII_DII_raw_synthetic_Jan_Jun2026[Sector],D$1)</f>
        <v>-543.33999999999992</v>
      </c>
      <c r="E19">
        <f>SUMIFS(FII_DII_raw_synthetic_Jan_Jun2026[Net_Flow_Cr],FII_DII_raw_synthetic_Jan_Jun2026[Week_Num],$A19,FII_DII_raw_synthetic_Jan_Jun2026[Entity_Type],"FII",FII_DII_raw_synthetic_Jan_Jun2026[Sector],E$1)</f>
        <v>133.3900000000001</v>
      </c>
      <c r="F19">
        <f>SUMIFS(FII_DII_raw_synthetic_Jan_Jun2026[Net_Flow_Cr],FII_DII_raw_synthetic_Jan_Jun2026[Week_Num],$A19,FII_DII_raw_synthetic_Jan_Jun2026[Entity_Type],"FII",FII_DII_raw_synthetic_Jan_Jun2026[Sector],F$1)</f>
        <v>104.68</v>
      </c>
      <c r="G19">
        <f>SUMIFS(FII_DII_raw_synthetic_Jan_Jun2026[Net_Flow_Cr],FII_DII_raw_synthetic_Jan_Jun2026[Week_Num],$A19,FII_DII_raw_synthetic_Jan_Jun2026[Entity_Type],"FII",FII_DII_raw_synthetic_Jan_Jun2026[Sector],G$1)</f>
        <v>1204.8800000000001</v>
      </c>
      <c r="H19">
        <f>SUMIFS(FII_DII_raw_synthetic_Jan_Jun2026[Net_Flow_Cr],FII_DII_raw_synthetic_Jan_Jun2026[Week_Num],$A19,FII_DII_raw_synthetic_Jan_Jun2026[Entity_Type],"FII",FII_DII_raw_synthetic_Jan_Jun2026[Sector],H$1)</f>
        <v>-279.27999999999997</v>
      </c>
      <c r="I19">
        <f>SUMIFS(FII_DII_raw_synthetic_Jan_Jun2026[Net_Flow_Cr],FII_DII_raw_synthetic_Jan_Jun2026[Week_Num],$A19,FII_DII_raw_synthetic_Jan_Jun2026[Entity_Type],"FII",FII_DII_raw_synthetic_Jan_Jun2026[Sector],I$1)</f>
        <v>1543.19</v>
      </c>
      <c r="J19">
        <f>SUMIFS(FII_DII_raw_synthetic_Jan_Jun2026[Net_Flow_Cr],FII_DII_raw_synthetic_Jan_Jun2026[Week_Num],$A19,FII_DII_raw_synthetic_Jan_Jun2026[Entity_Type],"FII",FII_DII_raw_synthetic_Jan_Jun2026[Sector],J$1)</f>
        <v>579.52</v>
      </c>
      <c r="K19">
        <f>SUMIFS(FII_DII_raw_synthetic_Jan_Jun2026[Net_Flow_Cr],FII_DII_raw_synthetic_Jan_Jun2026[Week_Num],$A19,FII_DII_raw_synthetic_Jan_Jun2026[Entity_Type],"FII",FII_DII_raw_synthetic_Jan_Jun2026[Sector],K$1)</f>
        <v>0</v>
      </c>
    </row>
    <row r="20" spans="1:11">
      <c r="A20">
        <v>19</v>
      </c>
      <c r="B20">
        <f>SUMIFS(FII_DII_raw_synthetic_Jan_Jun2026[Net_Flow_Cr],FII_DII_raw_synthetic_Jan_Jun2026[Week_Num],$A20,FII_DII_raw_synthetic_Jan_Jun2026[Entity_Type],"FII",FII_DII_raw_synthetic_Jan_Jun2026[Sector],B$1)</f>
        <v>198.80999999999995</v>
      </c>
      <c r="C20">
        <f>SUMIFS(FII_DII_raw_synthetic_Jan_Jun2026[Net_Flow_Cr],FII_DII_raw_synthetic_Jan_Jun2026[Week_Num],$A20,FII_DII_raw_synthetic_Jan_Jun2026[Entity_Type],"FII",FII_DII_raw_synthetic_Jan_Jun2026[Sector],C$1)</f>
        <v>1230.3599999999999</v>
      </c>
      <c r="D20">
        <f>SUMIFS(FII_DII_raw_synthetic_Jan_Jun2026[Net_Flow_Cr],FII_DII_raw_synthetic_Jan_Jun2026[Week_Num],$A20,FII_DII_raw_synthetic_Jan_Jun2026[Entity_Type],"FII",FII_DII_raw_synthetic_Jan_Jun2026[Sector],D$1)</f>
        <v>1410.77</v>
      </c>
      <c r="E20">
        <f>SUMIFS(FII_DII_raw_synthetic_Jan_Jun2026[Net_Flow_Cr],FII_DII_raw_synthetic_Jan_Jun2026[Week_Num],$A20,FII_DII_raw_synthetic_Jan_Jun2026[Entity_Type],"FII",FII_DII_raw_synthetic_Jan_Jun2026[Sector],E$1)</f>
        <v>-607.66</v>
      </c>
      <c r="F20">
        <f>SUMIFS(FII_DII_raw_synthetic_Jan_Jun2026[Net_Flow_Cr],FII_DII_raw_synthetic_Jan_Jun2026[Week_Num],$A20,FII_DII_raw_synthetic_Jan_Jun2026[Entity_Type],"FII",FII_DII_raw_synthetic_Jan_Jun2026[Sector],F$1)</f>
        <v>47.56</v>
      </c>
      <c r="G20">
        <f>SUMIFS(FII_DII_raw_synthetic_Jan_Jun2026[Net_Flow_Cr],FII_DII_raw_synthetic_Jan_Jun2026[Week_Num],$A20,FII_DII_raw_synthetic_Jan_Jun2026[Entity_Type],"FII",FII_DII_raw_synthetic_Jan_Jun2026[Sector],G$1)</f>
        <v>145.68</v>
      </c>
      <c r="H20">
        <f>SUMIFS(FII_DII_raw_synthetic_Jan_Jun2026[Net_Flow_Cr],FII_DII_raw_synthetic_Jan_Jun2026[Week_Num],$A20,FII_DII_raw_synthetic_Jan_Jun2026[Entity_Type],"FII",FII_DII_raw_synthetic_Jan_Jun2026[Sector],H$1)</f>
        <v>-385.57</v>
      </c>
      <c r="I20">
        <f>SUMIFS(FII_DII_raw_synthetic_Jan_Jun2026[Net_Flow_Cr],FII_DII_raw_synthetic_Jan_Jun2026[Week_Num],$A20,FII_DII_raw_synthetic_Jan_Jun2026[Entity_Type],"FII",FII_DII_raw_synthetic_Jan_Jun2026[Sector],I$1)</f>
        <v>-1322.68</v>
      </c>
      <c r="J20">
        <f>SUMIFS(FII_DII_raw_synthetic_Jan_Jun2026[Net_Flow_Cr],FII_DII_raw_synthetic_Jan_Jun2026[Week_Num],$A20,FII_DII_raw_synthetic_Jan_Jun2026[Entity_Type],"FII",FII_DII_raw_synthetic_Jan_Jun2026[Sector],J$1)</f>
        <v>-1336.51</v>
      </c>
      <c r="K20">
        <f>SUMIFS(FII_DII_raw_synthetic_Jan_Jun2026[Net_Flow_Cr],FII_DII_raw_synthetic_Jan_Jun2026[Week_Num],$A20,FII_DII_raw_synthetic_Jan_Jun2026[Entity_Type],"FII",FII_DII_raw_synthetic_Jan_Jun2026[Sector],K$1)</f>
        <v>-436.93</v>
      </c>
    </row>
    <row r="21" spans="1:11">
      <c r="A21">
        <v>20</v>
      </c>
      <c r="B21">
        <f>SUMIFS(FII_DII_raw_synthetic_Jan_Jun2026[Net_Flow_Cr],FII_DII_raw_synthetic_Jan_Jun2026[Week_Num],$A21,FII_DII_raw_synthetic_Jan_Jun2026[Entity_Type],"FII",FII_DII_raw_synthetic_Jan_Jun2026[Sector],B$1)</f>
        <v>1226.08</v>
      </c>
      <c r="C21">
        <f>SUMIFS(FII_DII_raw_synthetic_Jan_Jun2026[Net_Flow_Cr],FII_DII_raw_synthetic_Jan_Jun2026[Week_Num],$A21,FII_DII_raw_synthetic_Jan_Jun2026[Entity_Type],"FII",FII_DII_raw_synthetic_Jan_Jun2026[Sector],C$1)</f>
        <v>1882.8600000000001</v>
      </c>
      <c r="D21">
        <f>SUMIFS(FII_DII_raw_synthetic_Jan_Jun2026[Net_Flow_Cr],FII_DII_raw_synthetic_Jan_Jun2026[Week_Num],$A21,FII_DII_raw_synthetic_Jan_Jun2026[Entity_Type],"FII",FII_DII_raw_synthetic_Jan_Jun2026[Sector],D$1)</f>
        <v>-650.88</v>
      </c>
      <c r="E21">
        <f>SUMIFS(FII_DII_raw_synthetic_Jan_Jun2026[Net_Flow_Cr],FII_DII_raw_synthetic_Jan_Jun2026[Week_Num],$A21,FII_DII_raw_synthetic_Jan_Jun2026[Entity_Type],"FII",FII_DII_raw_synthetic_Jan_Jun2026[Sector],E$1)</f>
        <v>0</v>
      </c>
      <c r="F21">
        <f>SUMIFS(FII_DII_raw_synthetic_Jan_Jun2026[Net_Flow_Cr],FII_DII_raw_synthetic_Jan_Jun2026[Week_Num],$A21,FII_DII_raw_synthetic_Jan_Jun2026[Entity_Type],"FII",FII_DII_raw_synthetic_Jan_Jun2026[Sector],F$1)</f>
        <v>161.21</v>
      </c>
      <c r="G21">
        <f>SUMIFS(FII_DII_raw_synthetic_Jan_Jun2026[Net_Flow_Cr],FII_DII_raw_synthetic_Jan_Jun2026[Week_Num],$A21,FII_DII_raw_synthetic_Jan_Jun2026[Entity_Type],"FII",FII_DII_raw_synthetic_Jan_Jun2026[Sector],G$1)</f>
        <v>841.52</v>
      </c>
      <c r="H21">
        <f>SUMIFS(FII_DII_raw_synthetic_Jan_Jun2026[Net_Flow_Cr],FII_DII_raw_synthetic_Jan_Jun2026[Week_Num],$A21,FII_DII_raw_synthetic_Jan_Jun2026[Entity_Type],"FII",FII_DII_raw_synthetic_Jan_Jun2026[Sector],H$1)</f>
        <v>1406.26</v>
      </c>
      <c r="I21">
        <f>SUMIFS(FII_DII_raw_synthetic_Jan_Jun2026[Net_Flow_Cr],FII_DII_raw_synthetic_Jan_Jun2026[Week_Num],$A21,FII_DII_raw_synthetic_Jan_Jun2026[Entity_Type],"FII",FII_DII_raw_synthetic_Jan_Jun2026[Sector],I$1)</f>
        <v>491.07</v>
      </c>
      <c r="J21">
        <f>SUMIFS(FII_DII_raw_synthetic_Jan_Jun2026[Net_Flow_Cr],FII_DII_raw_synthetic_Jan_Jun2026[Week_Num],$A21,FII_DII_raw_synthetic_Jan_Jun2026[Entity_Type],"FII",FII_DII_raw_synthetic_Jan_Jun2026[Sector],J$1)</f>
        <v>-924.5200000000001</v>
      </c>
      <c r="K21">
        <f>SUMIFS(FII_DII_raw_synthetic_Jan_Jun2026[Net_Flow_Cr],FII_DII_raw_synthetic_Jan_Jun2026[Week_Num],$A21,FII_DII_raw_synthetic_Jan_Jun2026[Entity_Type],"FII",FII_DII_raw_synthetic_Jan_Jun2026[Sector],K$1)</f>
        <v>-1745.32</v>
      </c>
    </row>
    <row r="22" spans="1:11">
      <c r="A22">
        <v>21</v>
      </c>
      <c r="B22">
        <f>SUMIFS(FII_DII_raw_synthetic_Jan_Jun2026[Net_Flow_Cr],FII_DII_raw_synthetic_Jan_Jun2026[Week_Num],$A22,FII_DII_raw_synthetic_Jan_Jun2026[Entity_Type],"FII",FII_DII_raw_synthetic_Jan_Jun2026[Sector],B$1)</f>
        <v>-83.580000000000155</v>
      </c>
      <c r="C22">
        <f>SUMIFS(FII_DII_raw_synthetic_Jan_Jun2026[Net_Flow_Cr],FII_DII_raw_synthetic_Jan_Jun2026[Week_Num],$A22,FII_DII_raw_synthetic_Jan_Jun2026[Entity_Type],"FII",FII_DII_raw_synthetic_Jan_Jun2026[Sector],C$1)</f>
        <v>1760.18</v>
      </c>
      <c r="D22">
        <f>SUMIFS(FII_DII_raw_synthetic_Jan_Jun2026[Net_Flow_Cr],FII_DII_raw_synthetic_Jan_Jun2026[Week_Num],$A22,FII_DII_raw_synthetic_Jan_Jun2026[Entity_Type],"FII",FII_DII_raw_synthetic_Jan_Jun2026[Sector],D$1)</f>
        <v>76.650000000000006</v>
      </c>
      <c r="E22">
        <f>SUMIFS(FII_DII_raw_synthetic_Jan_Jun2026[Net_Flow_Cr],FII_DII_raw_synthetic_Jan_Jun2026[Week_Num],$A22,FII_DII_raw_synthetic_Jan_Jun2026[Entity_Type],"FII",FII_DII_raw_synthetic_Jan_Jun2026[Sector],E$1)</f>
        <v>-1156.74</v>
      </c>
      <c r="F22">
        <f>SUMIFS(FII_DII_raw_synthetic_Jan_Jun2026[Net_Flow_Cr],FII_DII_raw_synthetic_Jan_Jun2026[Week_Num],$A22,FII_DII_raw_synthetic_Jan_Jun2026[Entity_Type],"FII",FII_DII_raw_synthetic_Jan_Jun2026[Sector],F$1)</f>
        <v>-29.620000000000005</v>
      </c>
      <c r="G22">
        <f>SUMIFS(FII_DII_raw_synthetic_Jan_Jun2026[Net_Flow_Cr],FII_DII_raw_synthetic_Jan_Jun2026[Week_Num],$A22,FII_DII_raw_synthetic_Jan_Jun2026[Entity_Type],"FII",FII_DII_raw_synthetic_Jan_Jun2026[Sector],G$1)</f>
        <v>-147.99</v>
      </c>
      <c r="H22">
        <f>SUMIFS(FII_DII_raw_synthetic_Jan_Jun2026[Net_Flow_Cr],FII_DII_raw_synthetic_Jan_Jun2026[Week_Num],$A22,FII_DII_raw_synthetic_Jan_Jun2026[Entity_Type],"FII",FII_DII_raw_synthetic_Jan_Jun2026[Sector],H$1)</f>
        <v>-429.08000000000004</v>
      </c>
      <c r="I22">
        <f>SUMIFS(FII_DII_raw_synthetic_Jan_Jun2026[Net_Flow_Cr],FII_DII_raw_synthetic_Jan_Jun2026[Week_Num],$A22,FII_DII_raw_synthetic_Jan_Jun2026[Entity_Type],"FII",FII_DII_raw_synthetic_Jan_Jun2026[Sector],I$1)</f>
        <v>-672.2399999999999</v>
      </c>
      <c r="J22">
        <f>SUMIFS(FII_DII_raw_synthetic_Jan_Jun2026[Net_Flow_Cr],FII_DII_raw_synthetic_Jan_Jun2026[Week_Num],$A22,FII_DII_raw_synthetic_Jan_Jun2026[Entity_Type],"FII",FII_DII_raw_synthetic_Jan_Jun2026[Sector],J$1)</f>
        <v>0</v>
      </c>
      <c r="K22">
        <f>SUMIFS(FII_DII_raw_synthetic_Jan_Jun2026[Net_Flow_Cr],FII_DII_raw_synthetic_Jan_Jun2026[Week_Num],$A22,FII_DII_raw_synthetic_Jan_Jun2026[Entity_Type],"FII",FII_DII_raw_synthetic_Jan_Jun2026[Sector],K$1)</f>
        <v>-334.59000000000003</v>
      </c>
    </row>
    <row r="23" spans="1:11">
      <c r="A23">
        <v>22</v>
      </c>
      <c r="B23">
        <f>SUMIFS(FII_DII_raw_synthetic_Jan_Jun2026[Net_Flow_Cr],FII_DII_raw_synthetic_Jan_Jun2026[Week_Num],$A23,FII_DII_raw_synthetic_Jan_Jun2026[Entity_Type],"FII",FII_DII_raw_synthetic_Jan_Jun2026[Sector],B$1)</f>
        <v>-175.29999999999995</v>
      </c>
      <c r="C23">
        <f>SUMIFS(FII_DII_raw_synthetic_Jan_Jun2026[Net_Flow_Cr],FII_DII_raw_synthetic_Jan_Jun2026[Week_Num],$A23,FII_DII_raw_synthetic_Jan_Jun2026[Entity_Type],"FII",FII_DII_raw_synthetic_Jan_Jun2026[Sector],C$1)</f>
        <v>-225.89</v>
      </c>
      <c r="D23">
        <f>SUMIFS(FII_DII_raw_synthetic_Jan_Jun2026[Net_Flow_Cr],FII_DII_raw_synthetic_Jan_Jun2026[Week_Num],$A23,FII_DII_raw_synthetic_Jan_Jun2026[Entity_Type],"FII",FII_DII_raw_synthetic_Jan_Jun2026[Sector],D$1)</f>
        <v>3203.0899999999997</v>
      </c>
      <c r="E23">
        <f>SUMIFS(FII_DII_raw_synthetic_Jan_Jun2026[Net_Flow_Cr],FII_DII_raw_synthetic_Jan_Jun2026[Week_Num],$A23,FII_DII_raw_synthetic_Jan_Jun2026[Entity_Type],"FII",FII_DII_raw_synthetic_Jan_Jun2026[Sector],E$1)</f>
        <v>162.05000000000001</v>
      </c>
      <c r="F23">
        <f>SUMIFS(FII_DII_raw_synthetic_Jan_Jun2026[Net_Flow_Cr],FII_DII_raw_synthetic_Jan_Jun2026[Week_Num],$A23,FII_DII_raw_synthetic_Jan_Jun2026[Entity_Type],"FII",FII_DII_raw_synthetic_Jan_Jun2026[Sector],F$1)</f>
        <v>-1087.69</v>
      </c>
      <c r="G23">
        <f>SUMIFS(FII_DII_raw_synthetic_Jan_Jun2026[Net_Flow_Cr],FII_DII_raw_synthetic_Jan_Jun2026[Week_Num],$A23,FII_DII_raw_synthetic_Jan_Jun2026[Entity_Type],"FII",FII_DII_raw_synthetic_Jan_Jun2026[Sector],G$1)</f>
        <v>159.44</v>
      </c>
      <c r="H23">
        <f>SUMIFS(FII_DII_raw_synthetic_Jan_Jun2026[Net_Flow_Cr],FII_DII_raw_synthetic_Jan_Jun2026[Week_Num],$A23,FII_DII_raw_synthetic_Jan_Jun2026[Entity_Type],"FII",FII_DII_raw_synthetic_Jan_Jun2026[Sector],H$1)</f>
        <v>-1705.42</v>
      </c>
      <c r="I23">
        <f>SUMIFS(FII_DII_raw_synthetic_Jan_Jun2026[Net_Flow_Cr],FII_DII_raw_synthetic_Jan_Jun2026[Week_Num],$A23,FII_DII_raw_synthetic_Jan_Jun2026[Entity_Type],"FII",FII_DII_raw_synthetic_Jan_Jun2026[Sector],I$1)</f>
        <v>-499.59</v>
      </c>
      <c r="J23">
        <f>SUMIFS(FII_DII_raw_synthetic_Jan_Jun2026[Net_Flow_Cr],FII_DII_raw_synthetic_Jan_Jun2026[Week_Num],$A23,FII_DII_raw_synthetic_Jan_Jun2026[Entity_Type],"FII",FII_DII_raw_synthetic_Jan_Jun2026[Sector],J$1)</f>
        <v>0</v>
      </c>
      <c r="K23">
        <f>SUMIFS(FII_DII_raw_synthetic_Jan_Jun2026[Net_Flow_Cr],FII_DII_raw_synthetic_Jan_Jun2026[Week_Num],$A23,FII_DII_raw_synthetic_Jan_Jun2026[Entity_Type],"FII",FII_DII_raw_synthetic_Jan_Jun2026[Sector],K$1)</f>
        <v>941.33</v>
      </c>
    </row>
    <row r="24" spans="1:11">
      <c r="A24">
        <v>23</v>
      </c>
      <c r="B24">
        <f>SUMIFS(FII_DII_raw_synthetic_Jan_Jun2026[Net_Flow_Cr],FII_DII_raw_synthetic_Jan_Jun2026[Week_Num],$A24,FII_DII_raw_synthetic_Jan_Jun2026[Entity_Type],"FII",FII_DII_raw_synthetic_Jan_Jun2026[Sector],B$1)</f>
        <v>1115.52</v>
      </c>
      <c r="C24">
        <f>SUMIFS(FII_DII_raw_synthetic_Jan_Jun2026[Net_Flow_Cr],FII_DII_raw_synthetic_Jan_Jun2026[Week_Num],$A24,FII_DII_raw_synthetic_Jan_Jun2026[Entity_Type],"FII",FII_DII_raw_synthetic_Jan_Jun2026[Sector],C$1)</f>
        <v>562.01</v>
      </c>
      <c r="D24">
        <f>SUMIFS(FII_DII_raw_synthetic_Jan_Jun2026[Net_Flow_Cr],FII_DII_raw_synthetic_Jan_Jun2026[Week_Num],$A24,FII_DII_raw_synthetic_Jan_Jun2026[Entity_Type],"FII",FII_DII_raw_synthetic_Jan_Jun2026[Sector],D$1)</f>
        <v>54.400000000000006</v>
      </c>
      <c r="E24">
        <f>SUMIFS(FII_DII_raw_synthetic_Jan_Jun2026[Net_Flow_Cr],FII_DII_raw_synthetic_Jan_Jun2026[Week_Num],$A24,FII_DII_raw_synthetic_Jan_Jun2026[Entity_Type],"FII",FII_DII_raw_synthetic_Jan_Jun2026[Sector],E$1)</f>
        <v>-265.82</v>
      </c>
      <c r="F24">
        <f>SUMIFS(FII_DII_raw_synthetic_Jan_Jun2026[Net_Flow_Cr],FII_DII_raw_synthetic_Jan_Jun2026[Week_Num],$A24,FII_DII_raw_synthetic_Jan_Jun2026[Entity_Type],"FII",FII_DII_raw_synthetic_Jan_Jun2026[Sector],F$1)</f>
        <v>0</v>
      </c>
      <c r="G24">
        <f>SUMIFS(FII_DII_raw_synthetic_Jan_Jun2026[Net_Flow_Cr],FII_DII_raw_synthetic_Jan_Jun2026[Week_Num],$A24,FII_DII_raw_synthetic_Jan_Jun2026[Entity_Type],"FII",FII_DII_raw_synthetic_Jan_Jun2026[Sector],G$1)</f>
        <v>1342.5</v>
      </c>
      <c r="H24">
        <f>SUMIFS(FII_DII_raw_synthetic_Jan_Jun2026[Net_Flow_Cr],FII_DII_raw_synthetic_Jan_Jun2026[Week_Num],$A24,FII_DII_raw_synthetic_Jan_Jun2026[Entity_Type],"FII",FII_DII_raw_synthetic_Jan_Jun2026[Sector],H$1)</f>
        <v>0</v>
      </c>
      <c r="I24">
        <f>SUMIFS(FII_DII_raw_synthetic_Jan_Jun2026[Net_Flow_Cr],FII_DII_raw_synthetic_Jan_Jun2026[Week_Num],$A24,FII_DII_raw_synthetic_Jan_Jun2026[Entity_Type],"FII",FII_DII_raw_synthetic_Jan_Jun2026[Sector],I$1)</f>
        <v>0</v>
      </c>
      <c r="J24">
        <f>SUMIFS(FII_DII_raw_synthetic_Jan_Jun2026[Net_Flow_Cr],FII_DII_raw_synthetic_Jan_Jun2026[Week_Num],$A24,FII_DII_raw_synthetic_Jan_Jun2026[Entity_Type],"FII",FII_DII_raw_synthetic_Jan_Jun2026[Sector],J$1)</f>
        <v>0</v>
      </c>
      <c r="K24">
        <f>SUMIFS(FII_DII_raw_synthetic_Jan_Jun2026[Net_Flow_Cr],FII_DII_raw_synthetic_Jan_Jun2026[Week_Num],$A24,FII_DII_raw_synthetic_Jan_Jun2026[Entity_Type],"FII",FII_DII_raw_synthetic_Jan_Jun2026[Sector],K$1)</f>
        <v>-952.5</v>
      </c>
    </row>
    <row r="25" spans="1:11">
      <c r="A25">
        <v>24</v>
      </c>
      <c r="B25">
        <f>SUMIFS(FII_DII_raw_synthetic_Jan_Jun2026[Net_Flow_Cr],FII_DII_raw_synthetic_Jan_Jun2026[Week_Num],$A25,FII_DII_raw_synthetic_Jan_Jun2026[Entity_Type],"FII",FII_DII_raw_synthetic_Jan_Jun2026[Sector],B$1)</f>
        <v>1552.79</v>
      </c>
      <c r="C25">
        <f>SUMIFS(FII_DII_raw_synthetic_Jan_Jun2026[Net_Flow_Cr],FII_DII_raw_synthetic_Jan_Jun2026[Week_Num],$A25,FII_DII_raw_synthetic_Jan_Jun2026[Entity_Type],"FII",FII_DII_raw_synthetic_Jan_Jun2026[Sector],C$1)</f>
        <v>-1375.52</v>
      </c>
      <c r="D25">
        <f>SUMIFS(FII_DII_raw_synthetic_Jan_Jun2026[Net_Flow_Cr],FII_DII_raw_synthetic_Jan_Jun2026[Week_Num],$A25,FII_DII_raw_synthetic_Jan_Jun2026[Entity_Type],"FII",FII_DII_raw_synthetic_Jan_Jun2026[Sector],D$1)</f>
        <v>0</v>
      </c>
      <c r="E25">
        <f>SUMIFS(FII_DII_raw_synthetic_Jan_Jun2026[Net_Flow_Cr],FII_DII_raw_synthetic_Jan_Jun2026[Week_Num],$A25,FII_DII_raw_synthetic_Jan_Jun2026[Entity_Type],"FII",FII_DII_raw_synthetic_Jan_Jun2026[Sector],E$1)</f>
        <v>-816.2</v>
      </c>
      <c r="F25">
        <f>SUMIFS(FII_DII_raw_synthetic_Jan_Jun2026[Net_Flow_Cr],FII_DII_raw_synthetic_Jan_Jun2026[Week_Num],$A25,FII_DII_raw_synthetic_Jan_Jun2026[Entity_Type],"FII",FII_DII_raw_synthetic_Jan_Jun2026[Sector],F$1)</f>
        <v>-248.26999999999998</v>
      </c>
      <c r="G25">
        <f>SUMIFS(FII_DII_raw_synthetic_Jan_Jun2026[Net_Flow_Cr],FII_DII_raw_synthetic_Jan_Jun2026[Week_Num],$A25,FII_DII_raw_synthetic_Jan_Jun2026[Entity_Type],"FII",FII_DII_raw_synthetic_Jan_Jun2026[Sector],G$1)</f>
        <v>653.21</v>
      </c>
      <c r="H25">
        <f>SUMIFS(FII_DII_raw_synthetic_Jan_Jun2026[Net_Flow_Cr],FII_DII_raw_synthetic_Jan_Jun2026[Week_Num],$A25,FII_DII_raw_synthetic_Jan_Jun2026[Entity_Type],"FII",FII_DII_raw_synthetic_Jan_Jun2026[Sector],H$1)</f>
        <v>-868.14</v>
      </c>
      <c r="I25">
        <f>SUMIFS(FII_DII_raw_synthetic_Jan_Jun2026[Net_Flow_Cr],FII_DII_raw_synthetic_Jan_Jun2026[Week_Num],$A25,FII_DII_raw_synthetic_Jan_Jun2026[Entity_Type],"FII",FII_DII_raw_synthetic_Jan_Jun2026[Sector],I$1)</f>
        <v>-315.33</v>
      </c>
      <c r="J25">
        <f>SUMIFS(FII_DII_raw_synthetic_Jan_Jun2026[Net_Flow_Cr],FII_DII_raw_synthetic_Jan_Jun2026[Week_Num],$A25,FII_DII_raw_synthetic_Jan_Jun2026[Entity_Type],"FII",FII_DII_raw_synthetic_Jan_Jun2026[Sector],J$1)</f>
        <v>-440.22</v>
      </c>
      <c r="K25">
        <f>SUMIFS(FII_DII_raw_synthetic_Jan_Jun2026[Net_Flow_Cr],FII_DII_raw_synthetic_Jan_Jun2026[Week_Num],$A25,FII_DII_raw_synthetic_Jan_Jun2026[Entity_Type],"FII",FII_DII_raw_synthetic_Jan_Jun2026[Sector],K$1)</f>
        <v>89.43</v>
      </c>
    </row>
    <row r="26" spans="1:11">
      <c r="A26">
        <v>25</v>
      </c>
      <c r="B26">
        <f>SUMIFS(FII_DII_raw_synthetic_Jan_Jun2026[Net_Flow_Cr],FII_DII_raw_synthetic_Jan_Jun2026[Week_Num],$A26,FII_DII_raw_synthetic_Jan_Jun2026[Entity_Type],"FII",FII_DII_raw_synthetic_Jan_Jun2026[Sector],B$1)</f>
        <v>-1173.75</v>
      </c>
      <c r="C26">
        <f>SUMIFS(FII_DII_raw_synthetic_Jan_Jun2026[Net_Flow_Cr],FII_DII_raw_synthetic_Jan_Jun2026[Week_Num],$A26,FII_DII_raw_synthetic_Jan_Jun2026[Entity_Type],"FII",FII_DII_raw_synthetic_Jan_Jun2026[Sector],C$1)</f>
        <v>-597.49</v>
      </c>
      <c r="D26">
        <f>SUMIFS(FII_DII_raw_synthetic_Jan_Jun2026[Net_Flow_Cr],FII_DII_raw_synthetic_Jan_Jun2026[Week_Num],$A26,FII_DII_raw_synthetic_Jan_Jun2026[Entity_Type],"FII",FII_DII_raw_synthetic_Jan_Jun2026[Sector],D$1)</f>
        <v>-147.07000000000016</v>
      </c>
      <c r="E26">
        <f>SUMIFS(FII_DII_raw_synthetic_Jan_Jun2026[Net_Flow_Cr],FII_DII_raw_synthetic_Jan_Jun2026[Week_Num],$A26,FII_DII_raw_synthetic_Jan_Jun2026[Entity_Type],"FII",FII_DII_raw_synthetic_Jan_Jun2026[Sector],E$1)</f>
        <v>0</v>
      </c>
      <c r="F26">
        <f>SUMIFS(FII_DII_raw_synthetic_Jan_Jun2026[Net_Flow_Cr],FII_DII_raw_synthetic_Jan_Jun2026[Week_Num],$A26,FII_DII_raw_synthetic_Jan_Jun2026[Entity_Type],"FII",FII_DII_raw_synthetic_Jan_Jun2026[Sector],F$1)</f>
        <v>112.73000000000002</v>
      </c>
      <c r="G26">
        <f>SUMIFS(FII_DII_raw_synthetic_Jan_Jun2026[Net_Flow_Cr],FII_DII_raw_synthetic_Jan_Jun2026[Week_Num],$A26,FII_DII_raw_synthetic_Jan_Jun2026[Entity_Type],"FII",FII_DII_raw_synthetic_Jan_Jun2026[Sector],G$1)</f>
        <v>-240.03</v>
      </c>
      <c r="H26">
        <f>SUMIFS(FII_DII_raw_synthetic_Jan_Jun2026[Net_Flow_Cr],FII_DII_raw_synthetic_Jan_Jun2026[Week_Num],$A26,FII_DII_raw_synthetic_Jan_Jun2026[Entity_Type],"FII",FII_DII_raw_synthetic_Jan_Jun2026[Sector],H$1)</f>
        <v>-348.36</v>
      </c>
      <c r="I26">
        <f>SUMIFS(FII_DII_raw_synthetic_Jan_Jun2026[Net_Flow_Cr],FII_DII_raw_synthetic_Jan_Jun2026[Week_Num],$A26,FII_DII_raw_synthetic_Jan_Jun2026[Entity_Type],"FII",FII_DII_raw_synthetic_Jan_Jun2026[Sector],I$1)</f>
        <v>0</v>
      </c>
      <c r="J26">
        <f>SUMIFS(FII_DII_raw_synthetic_Jan_Jun2026[Net_Flow_Cr],FII_DII_raw_synthetic_Jan_Jun2026[Week_Num],$A26,FII_DII_raw_synthetic_Jan_Jun2026[Entity_Type],"FII",FII_DII_raw_synthetic_Jan_Jun2026[Sector],J$1)</f>
        <v>746.32</v>
      </c>
      <c r="K26">
        <f>SUMIFS(FII_DII_raw_synthetic_Jan_Jun2026[Net_Flow_Cr],FII_DII_raw_synthetic_Jan_Jun2026[Week_Num],$A26,FII_DII_raw_synthetic_Jan_Jun2026[Entity_Type],"FII",FII_DII_raw_synthetic_Jan_Jun2026[Sector],K$1)</f>
        <v>230.62</v>
      </c>
    </row>
    <row r="27" spans="1:11">
      <c r="A27">
        <v>26</v>
      </c>
      <c r="B27">
        <f>SUMIFS(FII_DII_raw_synthetic_Jan_Jun2026[Net_Flow_Cr],FII_DII_raw_synthetic_Jan_Jun2026[Week_Num],$A27,FII_DII_raw_synthetic_Jan_Jun2026[Entity_Type],"FII",FII_DII_raw_synthetic_Jan_Jun2026[Sector],B$1)</f>
        <v>136.91999999999999</v>
      </c>
      <c r="C27">
        <f>SUMIFS(FII_DII_raw_synthetic_Jan_Jun2026[Net_Flow_Cr],FII_DII_raw_synthetic_Jan_Jun2026[Week_Num],$A27,FII_DII_raw_synthetic_Jan_Jun2026[Entity_Type],"FII",FII_DII_raw_synthetic_Jan_Jun2026[Sector],C$1)</f>
        <v>-1014.51</v>
      </c>
      <c r="D27">
        <f>SUMIFS(FII_DII_raw_synthetic_Jan_Jun2026[Net_Flow_Cr],FII_DII_raw_synthetic_Jan_Jun2026[Week_Num],$A27,FII_DII_raw_synthetic_Jan_Jun2026[Entity_Type],"FII",FII_DII_raw_synthetic_Jan_Jun2026[Sector],D$1)</f>
        <v>-457.78</v>
      </c>
      <c r="E27">
        <f>SUMIFS(FII_DII_raw_synthetic_Jan_Jun2026[Net_Flow_Cr],FII_DII_raw_synthetic_Jan_Jun2026[Week_Num],$A27,FII_DII_raw_synthetic_Jan_Jun2026[Entity_Type],"FII",FII_DII_raw_synthetic_Jan_Jun2026[Sector],E$1)</f>
        <v>-1050.21</v>
      </c>
      <c r="F27">
        <f>SUMIFS(FII_DII_raw_synthetic_Jan_Jun2026[Net_Flow_Cr],FII_DII_raw_synthetic_Jan_Jun2026[Week_Num],$A27,FII_DII_raw_synthetic_Jan_Jun2026[Entity_Type],"FII",FII_DII_raw_synthetic_Jan_Jun2026[Sector],F$1)</f>
        <v>-262.4799999999999</v>
      </c>
      <c r="G27">
        <f>SUMIFS(FII_DII_raw_synthetic_Jan_Jun2026[Net_Flow_Cr],FII_DII_raw_synthetic_Jan_Jun2026[Week_Num],$A27,FII_DII_raw_synthetic_Jan_Jun2026[Entity_Type],"FII",FII_DII_raw_synthetic_Jan_Jun2026[Sector],G$1)</f>
        <v>181.41</v>
      </c>
      <c r="H27">
        <f>SUMIFS(FII_DII_raw_synthetic_Jan_Jun2026[Net_Flow_Cr],FII_DII_raw_synthetic_Jan_Jun2026[Week_Num],$A27,FII_DII_raw_synthetic_Jan_Jun2026[Entity_Type],"FII",FII_DII_raw_synthetic_Jan_Jun2026[Sector],H$1)</f>
        <v>9.3800000000000008</v>
      </c>
      <c r="I27">
        <f>SUMIFS(FII_DII_raw_synthetic_Jan_Jun2026[Net_Flow_Cr],FII_DII_raw_synthetic_Jan_Jun2026[Week_Num],$A27,FII_DII_raw_synthetic_Jan_Jun2026[Entity_Type],"FII",FII_DII_raw_synthetic_Jan_Jun2026[Sector],I$1)</f>
        <v>1817.72</v>
      </c>
      <c r="J27">
        <f>SUMIFS(FII_DII_raw_synthetic_Jan_Jun2026[Net_Flow_Cr],FII_DII_raw_synthetic_Jan_Jun2026[Week_Num],$A27,FII_DII_raw_synthetic_Jan_Jun2026[Entity_Type],"FII",FII_DII_raw_synthetic_Jan_Jun2026[Sector],J$1)</f>
        <v>0</v>
      </c>
      <c r="K27">
        <f>SUMIFS(FII_DII_raw_synthetic_Jan_Jun2026[Net_Flow_Cr],FII_DII_raw_synthetic_Jan_Jun2026[Week_Num],$A27,FII_DII_raw_synthetic_Jan_Jun2026[Entity_Type],"FII",FII_DII_raw_synthetic_Jan_Jun2026[Sector],K$1)</f>
        <v>-398.3599999999999</v>
      </c>
    </row>
    <row r="28" spans="1:11">
      <c r="A28">
        <v>27</v>
      </c>
      <c r="B28">
        <f>SUMIFS(FII_DII_raw_synthetic_Jan_Jun2026[Net_Flow_Cr],FII_DII_raw_synthetic_Jan_Jun2026[Week_Num],$A28,FII_DII_raw_synthetic_Jan_Jun2026[Entity_Type],"FII",FII_DII_raw_synthetic_Jan_Jun2026[Sector],B$1)</f>
        <v>451.3</v>
      </c>
      <c r="C28">
        <f>SUMIFS(FII_DII_raw_synthetic_Jan_Jun2026[Net_Flow_Cr],FII_DII_raw_synthetic_Jan_Jun2026[Week_Num],$A28,FII_DII_raw_synthetic_Jan_Jun2026[Entity_Type],"FII",FII_DII_raw_synthetic_Jan_Jun2026[Sector],C$1)</f>
        <v>0</v>
      </c>
      <c r="D28">
        <f>SUMIFS(FII_DII_raw_synthetic_Jan_Jun2026[Net_Flow_Cr],FII_DII_raw_synthetic_Jan_Jun2026[Week_Num],$A28,FII_DII_raw_synthetic_Jan_Jun2026[Entity_Type],"FII",FII_DII_raw_synthetic_Jan_Jun2026[Sector],D$1)</f>
        <v>881.52</v>
      </c>
      <c r="E28">
        <f>SUMIFS(FII_DII_raw_synthetic_Jan_Jun2026[Net_Flow_Cr],FII_DII_raw_synthetic_Jan_Jun2026[Week_Num],$A28,FII_DII_raw_synthetic_Jan_Jun2026[Entity_Type],"FII",FII_DII_raw_synthetic_Jan_Jun2026[Sector],E$1)</f>
        <v>-1262.83</v>
      </c>
      <c r="F28">
        <f>SUMIFS(FII_DII_raw_synthetic_Jan_Jun2026[Net_Flow_Cr],FII_DII_raw_synthetic_Jan_Jun2026[Week_Num],$A28,FII_DII_raw_synthetic_Jan_Jun2026[Entity_Type],"FII",FII_DII_raw_synthetic_Jan_Jun2026[Sector],F$1)</f>
        <v>0</v>
      </c>
      <c r="G28">
        <f>SUMIFS(FII_DII_raw_synthetic_Jan_Jun2026[Net_Flow_Cr],FII_DII_raw_synthetic_Jan_Jun2026[Week_Num],$A28,FII_DII_raw_synthetic_Jan_Jun2026[Entity_Type],"FII",FII_DII_raw_synthetic_Jan_Jun2026[Sector],G$1)</f>
        <v>0</v>
      </c>
      <c r="H28">
        <f>SUMIFS(FII_DII_raw_synthetic_Jan_Jun2026[Net_Flow_Cr],FII_DII_raw_synthetic_Jan_Jun2026[Week_Num],$A28,FII_DII_raw_synthetic_Jan_Jun2026[Entity_Type],"FII",FII_DII_raw_synthetic_Jan_Jun2026[Sector],H$1)</f>
        <v>2521.79</v>
      </c>
      <c r="I28">
        <f>SUMIFS(FII_DII_raw_synthetic_Jan_Jun2026[Net_Flow_Cr],FII_DII_raw_synthetic_Jan_Jun2026[Week_Num],$A28,FII_DII_raw_synthetic_Jan_Jun2026[Entity_Type],"FII",FII_DII_raw_synthetic_Jan_Jun2026[Sector],I$1)</f>
        <v>0</v>
      </c>
      <c r="J28">
        <f>SUMIFS(FII_DII_raw_synthetic_Jan_Jun2026[Net_Flow_Cr],FII_DII_raw_synthetic_Jan_Jun2026[Week_Num],$A28,FII_DII_raw_synthetic_Jan_Jun2026[Entity_Type],"FII",FII_DII_raw_synthetic_Jan_Jun2026[Sector],J$1)</f>
        <v>933.45</v>
      </c>
      <c r="K28">
        <f>SUMIFS(FII_DII_raw_synthetic_Jan_Jun2026[Net_Flow_Cr],FII_DII_raw_synthetic_Jan_Jun2026[Week_Num],$A28,FII_DII_raw_synthetic_Jan_Jun2026[Entity_Type],"FII",FII_DII_raw_synthetic_Jan_Jun2026[Sector],K$1)</f>
        <v>127.55</v>
      </c>
    </row>
  </sheetData>
  <conditionalFormatting sqref="B2:K2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903A-942E-4886-8021-9A5D9F1CC0AC}">
  <sheetPr>
    <tabColor theme="6" tint="0.79998168889431442"/>
  </sheetPr>
  <dimension ref="A1:D11"/>
  <sheetViews>
    <sheetView showGridLines="0" showRowColHeaders="0" workbookViewId="0"/>
  </sheetViews>
  <sheetFormatPr defaultRowHeight="14.45"/>
  <cols>
    <col min="1" max="1" width="19.7109375" bestFit="1" customWidth="1"/>
    <col min="2" max="2" width="12.140625" customWidth="1"/>
    <col min="3" max="3" width="16.5703125" customWidth="1"/>
    <col min="4" max="4" width="66.28515625" customWidth="1"/>
  </cols>
  <sheetData>
    <row r="1" spans="1:4">
      <c r="A1" t="s">
        <v>14</v>
      </c>
      <c r="B1" t="s">
        <v>58</v>
      </c>
      <c r="C1" t="s">
        <v>59</v>
      </c>
      <c r="D1" t="s">
        <v>60</v>
      </c>
    </row>
    <row r="2" spans="1:4">
      <c r="A2" t="s">
        <v>25</v>
      </c>
      <c r="B2">
        <v>27.4</v>
      </c>
      <c r="C2" s="1">
        <v>46198</v>
      </c>
      <c r="D2" t="s">
        <v>61</v>
      </c>
    </row>
    <row r="3" spans="1:4">
      <c r="A3" t="s">
        <v>29</v>
      </c>
      <c r="B3">
        <v>15.8</v>
      </c>
      <c r="C3" s="1">
        <v>46198</v>
      </c>
      <c r="D3" t="s">
        <v>62</v>
      </c>
    </row>
    <row r="4" spans="1:4">
      <c r="A4" t="s">
        <v>32</v>
      </c>
      <c r="B4">
        <v>24.1</v>
      </c>
      <c r="C4" s="1">
        <v>46198</v>
      </c>
      <c r="D4" t="s">
        <v>63</v>
      </c>
    </row>
    <row r="5" spans="1:4">
      <c r="A5" t="s">
        <v>21</v>
      </c>
      <c r="B5">
        <v>29.6</v>
      </c>
      <c r="C5" s="1">
        <v>46198</v>
      </c>
      <c r="D5" t="s">
        <v>64</v>
      </c>
    </row>
    <row r="6" spans="1:4">
      <c r="A6" t="s">
        <v>28</v>
      </c>
      <c r="B6">
        <v>32.299999999999997</v>
      </c>
      <c r="C6" s="1">
        <v>46198</v>
      </c>
      <c r="D6" t="s">
        <v>65</v>
      </c>
    </row>
    <row r="7" spans="1:4">
      <c r="A7" t="s">
        <v>27</v>
      </c>
      <c r="B7">
        <v>11.2</v>
      </c>
      <c r="C7" s="1">
        <v>46198</v>
      </c>
      <c r="D7" t="s">
        <v>66</v>
      </c>
    </row>
    <row r="8" spans="1:4">
      <c r="A8" t="s">
        <v>24</v>
      </c>
      <c r="B8">
        <v>18.5</v>
      </c>
      <c r="C8" s="1">
        <v>46198</v>
      </c>
      <c r="D8" t="s">
        <v>67</v>
      </c>
    </row>
    <row r="9" spans="1:4">
      <c r="A9" t="s">
        <v>26</v>
      </c>
      <c r="B9">
        <v>21.7</v>
      </c>
      <c r="C9" s="1">
        <v>46198</v>
      </c>
      <c r="D9" t="s">
        <v>68</v>
      </c>
    </row>
    <row r="10" spans="1:4">
      <c r="A10" t="s">
        <v>30</v>
      </c>
      <c r="B10">
        <v>34.799999999999997</v>
      </c>
      <c r="C10" s="1">
        <v>46198</v>
      </c>
      <c r="D10" t="s">
        <v>69</v>
      </c>
    </row>
    <row r="11" spans="1:4">
      <c r="A11" t="s">
        <v>31</v>
      </c>
      <c r="B11">
        <v>19.3</v>
      </c>
      <c r="C11" s="1">
        <v>46198</v>
      </c>
      <c r="D11" t="s">
        <v>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C2F3-C7C8-40DC-A53B-D10A4C45506D}">
  <sheetPr>
    <tabColor theme="8" tint="0.79998168889431442"/>
  </sheetPr>
  <dimension ref="A1:G120"/>
  <sheetViews>
    <sheetView showGridLines="0" showRowColHeaders="0" workbookViewId="0">
      <selection activeCell="K24" sqref="K24"/>
    </sheetView>
  </sheetViews>
  <sheetFormatPr defaultRowHeight="14.45"/>
  <cols>
    <col min="1" max="1" width="13.85546875" customWidth="1"/>
    <col min="2" max="2" width="13" customWidth="1"/>
    <col min="3" max="3" width="12" customWidth="1"/>
    <col min="4" max="4" width="12.7109375" customWidth="1"/>
    <col min="5" max="5" width="13.140625" customWidth="1"/>
    <col min="6" max="6" width="13.85546875" customWidth="1"/>
    <col min="7" max="7" width="14.7109375" customWidth="1"/>
  </cols>
  <sheetData>
    <row r="1" spans="1:7">
      <c r="A1" t="s">
        <v>5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</row>
    <row r="2" spans="1:7">
      <c r="A2" s="1">
        <v>46023</v>
      </c>
      <c r="B2">
        <v>26146.55</v>
      </c>
      <c r="C2">
        <v>26173.3</v>
      </c>
      <c r="D2">
        <v>26197.55</v>
      </c>
      <c r="E2">
        <v>26113.4</v>
      </c>
      <c r="F2">
        <v>425.63</v>
      </c>
      <c r="G2">
        <v>0.06</v>
      </c>
    </row>
    <row r="3" spans="1:7">
      <c r="A3" s="1">
        <v>46024</v>
      </c>
      <c r="B3">
        <v>26328.55</v>
      </c>
      <c r="C3">
        <v>26155.1</v>
      </c>
      <c r="D3">
        <v>26340</v>
      </c>
      <c r="E3">
        <v>26118.400000000001</v>
      </c>
      <c r="F3">
        <v>357.55</v>
      </c>
      <c r="G3">
        <v>0.7</v>
      </c>
    </row>
    <row r="4" spans="1:7">
      <c r="A4" s="1">
        <v>46027</v>
      </c>
      <c r="B4">
        <v>26250.3</v>
      </c>
      <c r="C4">
        <v>26333.7</v>
      </c>
      <c r="D4">
        <v>26373.200000000001</v>
      </c>
      <c r="E4">
        <v>26210.05</v>
      </c>
      <c r="F4">
        <v>338.78</v>
      </c>
      <c r="G4">
        <v>-0.3</v>
      </c>
    </row>
    <row r="5" spans="1:7">
      <c r="A5" s="1">
        <v>46028</v>
      </c>
      <c r="B5">
        <v>26178.7</v>
      </c>
      <c r="C5">
        <v>26189.7</v>
      </c>
      <c r="D5">
        <v>26273.95</v>
      </c>
      <c r="E5">
        <v>26124.75</v>
      </c>
      <c r="F5">
        <v>383.04</v>
      </c>
      <c r="G5">
        <v>-0.27</v>
      </c>
    </row>
    <row r="6" spans="1:7">
      <c r="A6" s="1">
        <v>46029</v>
      </c>
      <c r="B6">
        <v>26140.75</v>
      </c>
      <c r="C6">
        <v>26143.1</v>
      </c>
      <c r="D6">
        <v>26187.15</v>
      </c>
      <c r="E6">
        <v>26067.9</v>
      </c>
      <c r="F6">
        <v>338.22</v>
      </c>
      <c r="G6">
        <v>-0.14000000000000001</v>
      </c>
    </row>
    <row r="7" spans="1:7">
      <c r="A7" s="1">
        <v>46030</v>
      </c>
      <c r="B7">
        <v>25876.85</v>
      </c>
      <c r="C7">
        <v>26106.5</v>
      </c>
      <c r="D7">
        <v>26133.200000000001</v>
      </c>
      <c r="E7">
        <v>25858.45</v>
      </c>
      <c r="F7">
        <v>328.52</v>
      </c>
      <c r="G7">
        <v>-1.01</v>
      </c>
    </row>
    <row r="8" spans="1:7">
      <c r="A8" s="1">
        <v>46031</v>
      </c>
      <c r="B8">
        <v>25683.3</v>
      </c>
      <c r="C8">
        <v>25840.400000000001</v>
      </c>
      <c r="D8">
        <v>25940.6</v>
      </c>
      <c r="E8">
        <v>25623</v>
      </c>
      <c r="F8">
        <v>348.76</v>
      </c>
      <c r="G8">
        <v>-0.75</v>
      </c>
    </row>
    <row r="9" spans="1:7">
      <c r="A9" s="1">
        <v>46034</v>
      </c>
      <c r="B9">
        <v>25790.25</v>
      </c>
      <c r="C9">
        <v>25669.05</v>
      </c>
      <c r="D9">
        <v>25813.15</v>
      </c>
      <c r="E9">
        <v>25473.4</v>
      </c>
      <c r="F9">
        <v>275.76</v>
      </c>
      <c r="G9">
        <v>0.42</v>
      </c>
    </row>
    <row r="10" spans="1:7">
      <c r="A10" s="1">
        <v>46035</v>
      </c>
      <c r="B10">
        <v>25732.3</v>
      </c>
      <c r="C10">
        <v>25897.35</v>
      </c>
      <c r="D10">
        <v>25899.8</v>
      </c>
      <c r="E10">
        <v>25603.3</v>
      </c>
      <c r="F10">
        <v>339.54</v>
      </c>
      <c r="G10">
        <v>-0.22</v>
      </c>
    </row>
    <row r="11" spans="1:7">
      <c r="A11" s="1">
        <v>46036</v>
      </c>
      <c r="B11">
        <v>25665.599999999999</v>
      </c>
      <c r="C11">
        <v>25648.55</v>
      </c>
      <c r="D11">
        <v>25791.75</v>
      </c>
      <c r="E11">
        <v>25603.95</v>
      </c>
      <c r="F11">
        <v>393.13</v>
      </c>
      <c r="G11">
        <v>-0.26</v>
      </c>
    </row>
    <row r="12" spans="1:7">
      <c r="A12" s="1">
        <v>46038</v>
      </c>
      <c r="B12">
        <v>25694.35</v>
      </c>
      <c r="C12">
        <v>25696.05</v>
      </c>
      <c r="D12">
        <v>25873.5</v>
      </c>
      <c r="E12">
        <v>25662.400000000001</v>
      </c>
      <c r="F12">
        <v>434.04</v>
      </c>
      <c r="G12">
        <v>0.11</v>
      </c>
    </row>
    <row r="13" spans="1:7">
      <c r="A13" s="1">
        <v>46041</v>
      </c>
      <c r="B13">
        <v>25585.5</v>
      </c>
      <c r="C13">
        <v>25653.1</v>
      </c>
      <c r="D13">
        <v>25653.3</v>
      </c>
      <c r="E13">
        <v>25494.35</v>
      </c>
      <c r="F13">
        <v>443.09</v>
      </c>
      <c r="G13">
        <v>-0.42</v>
      </c>
    </row>
    <row r="14" spans="1:7">
      <c r="A14" s="1">
        <v>46042</v>
      </c>
      <c r="B14">
        <v>25232.5</v>
      </c>
      <c r="C14">
        <v>25580.3</v>
      </c>
      <c r="D14">
        <v>25585</v>
      </c>
      <c r="E14">
        <v>25171.35</v>
      </c>
      <c r="F14">
        <v>409.77</v>
      </c>
      <c r="G14">
        <v>-1.38</v>
      </c>
    </row>
    <row r="15" spans="1:7">
      <c r="A15" s="1">
        <v>46043</v>
      </c>
      <c r="B15">
        <v>25157.5</v>
      </c>
      <c r="C15">
        <v>25141</v>
      </c>
      <c r="D15">
        <v>25300.95</v>
      </c>
      <c r="E15">
        <v>24919.8</v>
      </c>
      <c r="F15">
        <v>395.62</v>
      </c>
      <c r="G15">
        <v>-0.3</v>
      </c>
    </row>
    <row r="16" spans="1:7">
      <c r="A16" s="1">
        <v>46044</v>
      </c>
      <c r="B16">
        <v>25289.9</v>
      </c>
      <c r="C16">
        <v>25344.15</v>
      </c>
      <c r="D16">
        <v>25435.75</v>
      </c>
      <c r="E16">
        <v>25168.5</v>
      </c>
      <c r="F16">
        <v>486.4</v>
      </c>
      <c r="G16">
        <v>0.53</v>
      </c>
    </row>
    <row r="17" spans="1:7">
      <c r="A17" s="1">
        <v>46045</v>
      </c>
      <c r="B17">
        <v>25048.65</v>
      </c>
      <c r="C17">
        <v>25344.6</v>
      </c>
      <c r="D17">
        <v>25347.95</v>
      </c>
      <c r="E17">
        <v>25025.3</v>
      </c>
      <c r="F17">
        <v>393.94</v>
      </c>
      <c r="G17">
        <v>-0.95</v>
      </c>
    </row>
    <row r="18" spans="1:7">
      <c r="A18" s="1">
        <v>46049</v>
      </c>
      <c r="B18">
        <v>25175.4</v>
      </c>
      <c r="C18">
        <v>25063.35</v>
      </c>
      <c r="D18">
        <v>25246.65</v>
      </c>
      <c r="E18">
        <v>24932.55</v>
      </c>
      <c r="F18">
        <v>618.70000000000005</v>
      </c>
      <c r="G18">
        <v>0.51</v>
      </c>
    </row>
    <row r="19" spans="1:7">
      <c r="A19" s="1">
        <v>46050</v>
      </c>
      <c r="B19">
        <v>25342.75</v>
      </c>
      <c r="C19">
        <v>25258.85</v>
      </c>
      <c r="D19">
        <v>25372.1</v>
      </c>
      <c r="E19">
        <v>25187.65</v>
      </c>
      <c r="F19">
        <v>574.9</v>
      </c>
      <c r="G19">
        <v>0.66</v>
      </c>
    </row>
    <row r="20" spans="1:7">
      <c r="A20" s="1">
        <v>46051</v>
      </c>
      <c r="B20">
        <v>25418.9</v>
      </c>
      <c r="C20">
        <v>25345</v>
      </c>
      <c r="D20">
        <v>25458.15</v>
      </c>
      <c r="E20">
        <v>25159.8</v>
      </c>
      <c r="F20">
        <v>582.39</v>
      </c>
      <c r="G20">
        <v>0.3</v>
      </c>
    </row>
    <row r="21" spans="1:7">
      <c r="A21" s="1">
        <v>46052</v>
      </c>
      <c r="B21">
        <v>25320.65</v>
      </c>
      <c r="C21">
        <v>25247.55</v>
      </c>
      <c r="D21">
        <v>25370.7</v>
      </c>
      <c r="E21">
        <v>25213.65</v>
      </c>
      <c r="F21">
        <v>508.39</v>
      </c>
      <c r="G21">
        <v>-0.39</v>
      </c>
    </row>
    <row r="22" spans="1:7">
      <c r="A22" s="1">
        <v>46054</v>
      </c>
      <c r="B22">
        <v>24825.45</v>
      </c>
      <c r="C22">
        <v>25333.75</v>
      </c>
      <c r="D22">
        <v>25440.9</v>
      </c>
      <c r="E22">
        <v>24571.75</v>
      </c>
      <c r="F22">
        <v>379.37</v>
      </c>
      <c r="G22">
        <v>-1.96</v>
      </c>
    </row>
    <row r="23" spans="1:7">
      <c r="A23" s="1">
        <v>46055</v>
      </c>
      <c r="B23">
        <v>25088.400000000001</v>
      </c>
      <c r="C23">
        <v>24796.5</v>
      </c>
      <c r="D23">
        <v>25108.1</v>
      </c>
      <c r="E23">
        <v>24679.4</v>
      </c>
      <c r="F23">
        <v>449.22</v>
      </c>
      <c r="G23">
        <v>1.06</v>
      </c>
    </row>
    <row r="24" spans="1:7">
      <c r="A24" s="1">
        <v>46056</v>
      </c>
      <c r="B24">
        <v>25727.55</v>
      </c>
      <c r="C24">
        <v>26308.05</v>
      </c>
      <c r="D24">
        <v>26341.200000000001</v>
      </c>
      <c r="E24">
        <v>25641.3</v>
      </c>
      <c r="F24">
        <v>637.26</v>
      </c>
      <c r="G24">
        <v>2.5499999999999998</v>
      </c>
    </row>
    <row r="25" spans="1:7">
      <c r="A25" s="1">
        <v>46057</v>
      </c>
      <c r="B25">
        <v>25776</v>
      </c>
      <c r="C25">
        <v>25675.05</v>
      </c>
      <c r="D25">
        <v>25818.55</v>
      </c>
      <c r="E25">
        <v>25563.95</v>
      </c>
      <c r="F25">
        <v>429.79</v>
      </c>
      <c r="G25">
        <v>0.19</v>
      </c>
    </row>
    <row r="26" spans="1:7">
      <c r="A26" s="1">
        <v>46058</v>
      </c>
      <c r="B26">
        <v>25642.799999999999</v>
      </c>
      <c r="C26">
        <v>25755.9</v>
      </c>
      <c r="D26">
        <v>25757.65</v>
      </c>
      <c r="E26">
        <v>25579.5</v>
      </c>
      <c r="F26">
        <v>343.81</v>
      </c>
      <c r="G26">
        <v>-0.52</v>
      </c>
    </row>
    <row r="27" spans="1:7">
      <c r="A27" s="1">
        <v>46059</v>
      </c>
      <c r="B27">
        <v>25693.7</v>
      </c>
      <c r="C27">
        <v>25605.8</v>
      </c>
      <c r="D27">
        <v>25703.95</v>
      </c>
      <c r="E27">
        <v>25491.9</v>
      </c>
      <c r="F27">
        <v>375.48</v>
      </c>
      <c r="G27">
        <v>0.2</v>
      </c>
    </row>
    <row r="28" spans="1:7">
      <c r="A28" s="1">
        <v>46062</v>
      </c>
      <c r="B28">
        <v>25867.3</v>
      </c>
      <c r="C28">
        <v>25888.7</v>
      </c>
      <c r="D28">
        <v>25922.25</v>
      </c>
      <c r="E28">
        <v>25780.9</v>
      </c>
      <c r="F28">
        <v>359.39</v>
      </c>
      <c r="G28">
        <v>0.68</v>
      </c>
    </row>
    <row r="29" spans="1:7">
      <c r="A29" s="1">
        <v>46063</v>
      </c>
      <c r="B29">
        <v>25935.15</v>
      </c>
      <c r="C29">
        <v>25922.65</v>
      </c>
      <c r="D29">
        <v>25989.45</v>
      </c>
      <c r="E29">
        <v>25870.45</v>
      </c>
      <c r="F29">
        <v>460.88</v>
      </c>
      <c r="G29">
        <v>0.26</v>
      </c>
    </row>
    <row r="30" spans="1:7">
      <c r="A30" s="1">
        <v>46064</v>
      </c>
      <c r="B30">
        <v>25953.85</v>
      </c>
      <c r="C30">
        <v>25997.45</v>
      </c>
      <c r="D30">
        <v>26009.4</v>
      </c>
      <c r="E30">
        <v>25899.8</v>
      </c>
      <c r="F30">
        <v>331.39</v>
      </c>
      <c r="G30">
        <v>7.0000000000000007E-2</v>
      </c>
    </row>
    <row r="31" spans="1:7">
      <c r="A31" s="1">
        <v>46065</v>
      </c>
      <c r="B31">
        <v>25807.200000000001</v>
      </c>
      <c r="C31">
        <v>25906.7</v>
      </c>
      <c r="D31">
        <v>25906.7</v>
      </c>
      <c r="E31">
        <v>25752.400000000001</v>
      </c>
      <c r="F31">
        <v>419.39</v>
      </c>
      <c r="G31">
        <v>-0.56999999999999995</v>
      </c>
    </row>
    <row r="32" spans="1:7">
      <c r="A32" s="1">
        <v>46066</v>
      </c>
      <c r="B32">
        <v>25471.1</v>
      </c>
      <c r="C32">
        <v>25571.15</v>
      </c>
      <c r="D32">
        <v>25630.35</v>
      </c>
      <c r="E32">
        <v>25444.3</v>
      </c>
      <c r="F32">
        <v>453.52</v>
      </c>
      <c r="G32">
        <v>-1.3</v>
      </c>
    </row>
    <row r="33" spans="1:7">
      <c r="A33" s="1">
        <v>46069</v>
      </c>
      <c r="B33">
        <v>25682.75</v>
      </c>
      <c r="C33">
        <v>25423.599999999999</v>
      </c>
      <c r="D33">
        <v>25697</v>
      </c>
      <c r="E33">
        <v>25372.7</v>
      </c>
      <c r="F33">
        <v>275.77</v>
      </c>
      <c r="G33">
        <v>0.83</v>
      </c>
    </row>
    <row r="34" spans="1:7">
      <c r="A34" s="1">
        <v>46070</v>
      </c>
      <c r="B34">
        <v>25725.4</v>
      </c>
      <c r="C34">
        <v>25637.95</v>
      </c>
      <c r="D34">
        <v>25764.400000000001</v>
      </c>
      <c r="E34">
        <v>25570.3</v>
      </c>
      <c r="F34">
        <v>344.12</v>
      </c>
      <c r="G34">
        <v>0.17</v>
      </c>
    </row>
    <row r="35" spans="1:7">
      <c r="A35" s="1">
        <v>46071</v>
      </c>
      <c r="B35">
        <v>25819.35</v>
      </c>
      <c r="C35">
        <v>25752.65</v>
      </c>
      <c r="D35">
        <v>25828.05</v>
      </c>
      <c r="E35">
        <v>25645.15</v>
      </c>
      <c r="F35">
        <v>310.23</v>
      </c>
      <c r="G35">
        <v>0.37</v>
      </c>
    </row>
    <row r="36" spans="1:7">
      <c r="A36" s="1">
        <v>46072</v>
      </c>
      <c r="B36">
        <v>25454.35</v>
      </c>
      <c r="C36">
        <v>25873.35</v>
      </c>
      <c r="D36">
        <v>25885.3</v>
      </c>
      <c r="E36">
        <v>25388.75</v>
      </c>
      <c r="F36">
        <v>298.23</v>
      </c>
      <c r="G36">
        <v>-1.41</v>
      </c>
    </row>
    <row r="37" spans="1:7">
      <c r="A37" s="1">
        <v>46073</v>
      </c>
      <c r="B37">
        <v>25571.25</v>
      </c>
      <c r="C37">
        <v>25406.55</v>
      </c>
      <c r="D37">
        <v>25663.55</v>
      </c>
      <c r="E37">
        <v>25379.75</v>
      </c>
      <c r="F37">
        <v>296.58</v>
      </c>
      <c r="G37">
        <v>0.46</v>
      </c>
    </row>
    <row r="38" spans="1:7">
      <c r="A38" s="1">
        <v>46076</v>
      </c>
      <c r="B38">
        <v>25713</v>
      </c>
      <c r="C38">
        <v>25678.400000000001</v>
      </c>
      <c r="D38">
        <v>25771.45</v>
      </c>
      <c r="E38">
        <v>25609.35</v>
      </c>
      <c r="F38">
        <v>313.68</v>
      </c>
      <c r="G38">
        <v>0.55000000000000004</v>
      </c>
    </row>
    <row r="39" spans="1:7">
      <c r="A39" s="1">
        <v>46077</v>
      </c>
      <c r="B39">
        <v>25424.65</v>
      </c>
      <c r="C39">
        <v>25641.8</v>
      </c>
      <c r="D39">
        <v>25641.8</v>
      </c>
      <c r="E39">
        <v>25327.599999999999</v>
      </c>
      <c r="F39">
        <v>439.07</v>
      </c>
      <c r="G39">
        <v>-1.1200000000000001</v>
      </c>
    </row>
    <row r="40" spans="1:7">
      <c r="A40" s="1">
        <v>46078</v>
      </c>
      <c r="B40">
        <v>25482.5</v>
      </c>
      <c r="C40">
        <v>25512.6</v>
      </c>
      <c r="D40">
        <v>25652.6</v>
      </c>
      <c r="E40">
        <v>25428.2</v>
      </c>
      <c r="F40">
        <v>414.21</v>
      </c>
      <c r="G40">
        <v>0.23</v>
      </c>
    </row>
    <row r="41" spans="1:7">
      <c r="A41" s="1">
        <v>46079</v>
      </c>
      <c r="B41">
        <v>25496.55</v>
      </c>
      <c r="C41">
        <v>25556.3</v>
      </c>
      <c r="D41">
        <v>25572.95</v>
      </c>
      <c r="E41">
        <v>25400.95</v>
      </c>
      <c r="F41">
        <v>405.22</v>
      </c>
      <c r="G41">
        <v>0.06</v>
      </c>
    </row>
    <row r="42" spans="1:7">
      <c r="A42" s="1">
        <v>46080</v>
      </c>
      <c r="B42">
        <v>25178.65</v>
      </c>
      <c r="C42">
        <v>25459.85</v>
      </c>
      <c r="D42">
        <v>25476.400000000001</v>
      </c>
      <c r="E42">
        <v>25141.3</v>
      </c>
      <c r="F42">
        <v>438.92</v>
      </c>
      <c r="G42">
        <v>-1.25</v>
      </c>
    </row>
    <row r="43" spans="1:7">
      <c r="A43" s="1">
        <v>46083</v>
      </c>
      <c r="B43">
        <v>24865.7</v>
      </c>
      <c r="C43">
        <v>24659.25</v>
      </c>
      <c r="D43">
        <v>24989.35</v>
      </c>
      <c r="E43">
        <v>24603.5</v>
      </c>
      <c r="F43">
        <v>519.23</v>
      </c>
      <c r="G43">
        <v>-1.24</v>
      </c>
    </row>
    <row r="44" spans="1:7">
      <c r="A44" s="1">
        <v>46085</v>
      </c>
      <c r="B44">
        <v>24480.5</v>
      </c>
      <c r="C44">
        <v>24388.799999999999</v>
      </c>
      <c r="D44">
        <v>24602.45</v>
      </c>
      <c r="E44">
        <v>24305.4</v>
      </c>
      <c r="F44">
        <v>598.99</v>
      </c>
      <c r="G44">
        <v>-1.55</v>
      </c>
    </row>
    <row r="45" spans="1:7">
      <c r="A45" s="1">
        <v>46086</v>
      </c>
      <c r="B45">
        <v>24765.9</v>
      </c>
      <c r="C45">
        <v>24615.95</v>
      </c>
      <c r="D45">
        <v>24854.2</v>
      </c>
      <c r="E45">
        <v>24529.4</v>
      </c>
      <c r="F45">
        <v>504.34</v>
      </c>
      <c r="G45">
        <v>1.17</v>
      </c>
    </row>
    <row r="46" spans="1:7">
      <c r="A46" s="1">
        <v>46087</v>
      </c>
      <c r="B46">
        <v>24450.45</v>
      </c>
      <c r="C46">
        <v>24656.400000000001</v>
      </c>
      <c r="D46">
        <v>24700.9</v>
      </c>
      <c r="E46">
        <v>24415.75</v>
      </c>
      <c r="F46">
        <v>433.41</v>
      </c>
      <c r="G46">
        <v>-1.27</v>
      </c>
    </row>
    <row r="47" spans="1:7">
      <c r="A47" s="1">
        <v>46090</v>
      </c>
      <c r="B47">
        <v>24028.05</v>
      </c>
      <c r="C47">
        <v>23868.05</v>
      </c>
      <c r="D47">
        <v>24078.15</v>
      </c>
      <c r="E47">
        <v>23697.8</v>
      </c>
      <c r="F47">
        <v>526.9</v>
      </c>
      <c r="G47">
        <v>-1.73</v>
      </c>
    </row>
    <row r="48" spans="1:7">
      <c r="A48" s="1">
        <v>46091</v>
      </c>
      <c r="B48">
        <v>24261.599999999999</v>
      </c>
      <c r="C48">
        <v>24280.799999999999</v>
      </c>
      <c r="D48">
        <v>24303.8</v>
      </c>
      <c r="E48">
        <v>24079.95</v>
      </c>
      <c r="F48">
        <v>444.28</v>
      </c>
      <c r="G48">
        <v>0.97</v>
      </c>
    </row>
    <row r="49" spans="1:7">
      <c r="A49" s="1">
        <v>46092</v>
      </c>
      <c r="B49">
        <v>23866.85</v>
      </c>
      <c r="C49">
        <v>24231.85</v>
      </c>
      <c r="D49">
        <v>24299</v>
      </c>
      <c r="E49">
        <v>23834.3</v>
      </c>
      <c r="F49">
        <v>407.4</v>
      </c>
      <c r="G49">
        <v>-1.63</v>
      </c>
    </row>
    <row r="50" spans="1:7">
      <c r="A50" s="1">
        <v>46093</v>
      </c>
      <c r="B50">
        <v>23639.15</v>
      </c>
      <c r="C50">
        <v>23674.85</v>
      </c>
      <c r="D50">
        <v>23833.15</v>
      </c>
      <c r="E50">
        <v>23556.3</v>
      </c>
      <c r="F50">
        <v>501</v>
      </c>
      <c r="G50">
        <v>-0.95</v>
      </c>
    </row>
    <row r="51" spans="1:7">
      <c r="A51" s="1">
        <v>46094</v>
      </c>
      <c r="B51">
        <v>23151.1</v>
      </c>
      <c r="C51">
        <v>23462.5</v>
      </c>
      <c r="D51">
        <v>23492.400000000001</v>
      </c>
      <c r="E51">
        <v>23112</v>
      </c>
      <c r="F51">
        <v>519.78</v>
      </c>
      <c r="G51">
        <v>-2.06</v>
      </c>
    </row>
    <row r="52" spans="1:7">
      <c r="A52" s="1">
        <v>46097</v>
      </c>
      <c r="B52">
        <v>23408.799999999999</v>
      </c>
      <c r="C52">
        <v>23116.1</v>
      </c>
      <c r="D52">
        <v>23502</v>
      </c>
      <c r="E52">
        <v>22955.25</v>
      </c>
      <c r="F52">
        <v>540.29</v>
      </c>
      <c r="G52">
        <v>1.1100000000000001</v>
      </c>
    </row>
    <row r="53" spans="1:7">
      <c r="A53" s="1">
        <v>46098</v>
      </c>
      <c r="B53">
        <v>23581.15</v>
      </c>
      <c r="C53">
        <v>23493.200000000001</v>
      </c>
      <c r="D53">
        <v>23656.799999999999</v>
      </c>
      <c r="E53">
        <v>23346.6</v>
      </c>
      <c r="F53">
        <v>458.79</v>
      </c>
      <c r="G53">
        <v>0.74</v>
      </c>
    </row>
    <row r="54" spans="1:7">
      <c r="A54" s="1">
        <v>46099</v>
      </c>
      <c r="B54">
        <v>23777.8</v>
      </c>
      <c r="C54">
        <v>23632.9</v>
      </c>
      <c r="D54">
        <v>23862.25</v>
      </c>
      <c r="E54">
        <v>23618.45</v>
      </c>
      <c r="F54">
        <v>382.88</v>
      </c>
      <c r="G54">
        <v>0.83</v>
      </c>
    </row>
    <row r="55" spans="1:7">
      <c r="A55" s="1">
        <v>46100</v>
      </c>
      <c r="B55">
        <v>23002.15</v>
      </c>
      <c r="C55">
        <v>23197.75</v>
      </c>
      <c r="D55">
        <v>23378.7</v>
      </c>
      <c r="E55">
        <v>22930.35</v>
      </c>
      <c r="F55">
        <v>550.15</v>
      </c>
      <c r="G55">
        <v>-3.26</v>
      </c>
    </row>
    <row r="56" spans="1:7">
      <c r="A56" s="1">
        <v>46101</v>
      </c>
      <c r="B56">
        <v>23114.5</v>
      </c>
      <c r="C56">
        <v>23110.15</v>
      </c>
      <c r="D56">
        <v>23345.15</v>
      </c>
      <c r="E56">
        <v>23067.599999999999</v>
      </c>
      <c r="F56">
        <v>663.29</v>
      </c>
      <c r="G56">
        <v>0.49</v>
      </c>
    </row>
    <row r="57" spans="1:7">
      <c r="A57" s="1">
        <v>46104</v>
      </c>
      <c r="B57">
        <v>22512.65</v>
      </c>
      <c r="C57">
        <v>22824.35</v>
      </c>
      <c r="D57">
        <v>22851.7</v>
      </c>
      <c r="E57">
        <v>22471.25</v>
      </c>
      <c r="F57">
        <v>550.28</v>
      </c>
      <c r="G57">
        <v>-2.6</v>
      </c>
    </row>
    <row r="58" spans="1:7">
      <c r="A58" s="1">
        <v>46105</v>
      </c>
      <c r="B58">
        <v>22912.400000000001</v>
      </c>
      <c r="C58">
        <v>22878.45</v>
      </c>
      <c r="D58">
        <v>23057.3</v>
      </c>
      <c r="E58">
        <v>22624.2</v>
      </c>
      <c r="F58">
        <v>538.1</v>
      </c>
      <c r="G58">
        <v>1.78</v>
      </c>
    </row>
    <row r="59" spans="1:7">
      <c r="A59" s="1">
        <v>46106</v>
      </c>
      <c r="B59">
        <v>23306.45</v>
      </c>
      <c r="C59">
        <v>23064.400000000001</v>
      </c>
      <c r="D59">
        <v>23465.35</v>
      </c>
      <c r="E59">
        <v>23063.200000000001</v>
      </c>
      <c r="F59">
        <v>505.42</v>
      </c>
      <c r="G59">
        <v>1.72</v>
      </c>
    </row>
    <row r="60" spans="1:7">
      <c r="A60" s="1">
        <v>46108</v>
      </c>
      <c r="B60">
        <v>22819.599999999999</v>
      </c>
      <c r="C60">
        <v>23173.55</v>
      </c>
      <c r="D60">
        <v>23186.1</v>
      </c>
      <c r="E60">
        <v>22804.55</v>
      </c>
      <c r="F60">
        <v>612.55999999999995</v>
      </c>
      <c r="G60">
        <v>-2.09</v>
      </c>
    </row>
    <row r="61" spans="1:7">
      <c r="A61" s="1">
        <v>46111</v>
      </c>
      <c r="B61">
        <v>22331.4</v>
      </c>
      <c r="C61">
        <v>22549.65</v>
      </c>
      <c r="D61">
        <v>22714.1</v>
      </c>
      <c r="E61">
        <v>22283.85</v>
      </c>
      <c r="F61">
        <v>698.6</v>
      </c>
      <c r="G61">
        <v>-2.14</v>
      </c>
    </row>
    <row r="62" spans="1:7">
      <c r="A62" s="1">
        <v>46113</v>
      </c>
      <c r="B62">
        <v>22679.4</v>
      </c>
      <c r="C62">
        <v>22899</v>
      </c>
      <c r="D62">
        <v>22941.3</v>
      </c>
      <c r="E62">
        <v>22618.6</v>
      </c>
      <c r="F62">
        <v>517.95000000000005</v>
      </c>
      <c r="G62">
        <v>1.56</v>
      </c>
    </row>
    <row r="63" spans="1:7">
      <c r="A63" s="1">
        <v>46114</v>
      </c>
      <c r="B63">
        <v>22713.1</v>
      </c>
      <c r="C63">
        <v>22383.4</v>
      </c>
      <c r="D63">
        <v>22782.3</v>
      </c>
      <c r="E63">
        <v>22182.55</v>
      </c>
      <c r="F63">
        <v>495.12</v>
      </c>
      <c r="G63">
        <v>0.15</v>
      </c>
    </row>
    <row r="64" spans="1:7">
      <c r="A64" s="1">
        <v>46118</v>
      </c>
      <c r="B64">
        <v>22968.25</v>
      </c>
      <c r="C64">
        <v>22780.3</v>
      </c>
      <c r="D64">
        <v>22998.35</v>
      </c>
      <c r="E64">
        <v>22542.95</v>
      </c>
      <c r="F64">
        <v>426.42</v>
      </c>
      <c r="G64">
        <v>1.1200000000000001</v>
      </c>
    </row>
    <row r="65" spans="1:7">
      <c r="A65" s="1">
        <v>46119</v>
      </c>
      <c r="B65">
        <v>23123.65</v>
      </c>
      <c r="C65">
        <v>22838.7</v>
      </c>
      <c r="D65">
        <v>23153.85</v>
      </c>
      <c r="E65">
        <v>22719.3</v>
      </c>
      <c r="F65">
        <v>476.98</v>
      </c>
      <c r="G65">
        <v>0.68</v>
      </c>
    </row>
    <row r="66" spans="1:7">
      <c r="A66" s="1">
        <v>46120</v>
      </c>
      <c r="B66">
        <v>23997.35</v>
      </c>
      <c r="C66">
        <v>23855.15</v>
      </c>
      <c r="D66">
        <v>24025.15</v>
      </c>
      <c r="E66">
        <v>23828.5</v>
      </c>
      <c r="F66">
        <v>639.26</v>
      </c>
      <c r="G66">
        <v>3.78</v>
      </c>
    </row>
    <row r="67" spans="1:7">
      <c r="A67" s="1">
        <v>46121</v>
      </c>
      <c r="B67">
        <v>23775.1</v>
      </c>
      <c r="C67">
        <v>23909.05</v>
      </c>
      <c r="D67">
        <v>23990.75</v>
      </c>
      <c r="E67">
        <v>23682.799999999999</v>
      </c>
      <c r="F67">
        <v>466.59</v>
      </c>
      <c r="G67">
        <v>-0.93</v>
      </c>
    </row>
    <row r="68" spans="1:7">
      <c r="A68" s="1">
        <v>46122</v>
      </c>
      <c r="B68">
        <v>24050.6</v>
      </c>
      <c r="C68">
        <v>23880.55</v>
      </c>
      <c r="D68">
        <v>24074.05</v>
      </c>
      <c r="E68">
        <v>23856.35</v>
      </c>
      <c r="F68">
        <v>481.3</v>
      </c>
      <c r="G68">
        <v>1.1599999999999999</v>
      </c>
    </row>
    <row r="69" spans="1:7">
      <c r="A69" s="1">
        <v>46125</v>
      </c>
      <c r="B69">
        <v>23842.65</v>
      </c>
      <c r="C69">
        <v>23589.599999999999</v>
      </c>
      <c r="D69">
        <v>23907.4</v>
      </c>
      <c r="E69">
        <v>23555.599999999999</v>
      </c>
      <c r="F69">
        <v>488.84</v>
      </c>
      <c r="G69">
        <v>-0.86</v>
      </c>
    </row>
    <row r="70" spans="1:7">
      <c r="A70" s="1">
        <v>46127</v>
      </c>
      <c r="B70">
        <v>24231.3</v>
      </c>
      <c r="C70">
        <v>24163.8</v>
      </c>
      <c r="D70">
        <v>24280.9</v>
      </c>
      <c r="E70">
        <v>24145.8</v>
      </c>
      <c r="F70">
        <v>460.33</v>
      </c>
      <c r="G70">
        <v>1.63</v>
      </c>
    </row>
    <row r="71" spans="1:7">
      <c r="A71" s="1">
        <v>46128</v>
      </c>
      <c r="B71">
        <v>24196.75</v>
      </c>
      <c r="C71">
        <v>24385.200000000001</v>
      </c>
      <c r="D71">
        <v>24400.95</v>
      </c>
      <c r="E71">
        <v>24102.799999999999</v>
      </c>
      <c r="F71">
        <v>508.02</v>
      </c>
      <c r="G71">
        <v>-0.14000000000000001</v>
      </c>
    </row>
    <row r="72" spans="1:7">
      <c r="A72" s="1">
        <v>46129</v>
      </c>
      <c r="B72">
        <v>24353.55</v>
      </c>
      <c r="C72">
        <v>24165.9</v>
      </c>
      <c r="D72">
        <v>24371.9</v>
      </c>
      <c r="E72">
        <v>24096.05</v>
      </c>
      <c r="F72">
        <v>498.63</v>
      </c>
      <c r="G72">
        <v>0.65</v>
      </c>
    </row>
    <row r="73" spans="1:7">
      <c r="A73" s="1">
        <v>46132</v>
      </c>
      <c r="B73">
        <v>24364.85</v>
      </c>
      <c r="C73">
        <v>24391.5</v>
      </c>
      <c r="D73">
        <v>24480.65</v>
      </c>
      <c r="E73">
        <v>24241.25</v>
      </c>
      <c r="F73">
        <v>415.94</v>
      </c>
      <c r="G73">
        <v>0.05</v>
      </c>
    </row>
    <row r="74" spans="1:7">
      <c r="A74" s="1">
        <v>46133</v>
      </c>
      <c r="B74">
        <v>24576.6</v>
      </c>
      <c r="C74">
        <v>24374.55</v>
      </c>
      <c r="D74">
        <v>24601.7</v>
      </c>
      <c r="E74">
        <v>24354.9</v>
      </c>
      <c r="F74">
        <v>425.83</v>
      </c>
      <c r="G74">
        <v>0.87</v>
      </c>
    </row>
    <row r="75" spans="1:7">
      <c r="A75" s="1">
        <v>46134</v>
      </c>
      <c r="B75">
        <v>24378.1</v>
      </c>
      <c r="C75">
        <v>24470.85</v>
      </c>
      <c r="D75">
        <v>24515.95</v>
      </c>
      <c r="E75">
        <v>24352.9</v>
      </c>
      <c r="F75">
        <v>440.52</v>
      </c>
      <c r="G75">
        <v>-0.81</v>
      </c>
    </row>
    <row r="76" spans="1:7">
      <c r="A76" s="1">
        <v>46135</v>
      </c>
      <c r="B76">
        <v>24173.05</v>
      </c>
      <c r="C76">
        <v>24202.35</v>
      </c>
      <c r="D76">
        <v>24310.2</v>
      </c>
      <c r="E76">
        <v>24134.799999999999</v>
      </c>
      <c r="F76">
        <v>467.55</v>
      </c>
      <c r="G76">
        <v>-0.84</v>
      </c>
    </row>
    <row r="77" spans="1:7">
      <c r="A77" s="1">
        <v>46136</v>
      </c>
      <c r="B77">
        <v>23897.95</v>
      </c>
      <c r="C77">
        <v>24100.55</v>
      </c>
      <c r="D77">
        <v>24206</v>
      </c>
      <c r="E77">
        <v>23813.65</v>
      </c>
      <c r="F77">
        <v>438.43</v>
      </c>
      <c r="G77">
        <v>-1.1399999999999999</v>
      </c>
    </row>
    <row r="78" spans="1:7">
      <c r="A78" s="1">
        <v>46139</v>
      </c>
      <c r="B78">
        <v>24092.7</v>
      </c>
      <c r="C78">
        <v>23945.45</v>
      </c>
      <c r="D78">
        <v>24130.7</v>
      </c>
      <c r="E78">
        <v>23936.2</v>
      </c>
      <c r="F78">
        <v>430.3</v>
      </c>
      <c r="G78">
        <v>0.81</v>
      </c>
    </row>
    <row r="79" spans="1:7">
      <c r="A79" s="1">
        <v>46140</v>
      </c>
      <c r="B79">
        <v>23995.7</v>
      </c>
      <c r="C79">
        <v>24049.9</v>
      </c>
      <c r="D79">
        <v>24181.8</v>
      </c>
      <c r="E79">
        <v>23957.05</v>
      </c>
      <c r="F79">
        <v>554.13</v>
      </c>
      <c r="G79">
        <v>-0.4</v>
      </c>
    </row>
    <row r="80" spans="1:7">
      <c r="A80" s="1">
        <v>46141</v>
      </c>
      <c r="B80">
        <v>24177.65</v>
      </c>
      <c r="C80">
        <v>24096.9</v>
      </c>
      <c r="D80">
        <v>24334.7</v>
      </c>
      <c r="E80">
        <v>24059.95</v>
      </c>
      <c r="F80">
        <v>531.12</v>
      </c>
      <c r="G80">
        <v>0.76</v>
      </c>
    </row>
    <row r="81" spans="1:7">
      <c r="A81" s="1">
        <v>46142</v>
      </c>
      <c r="B81">
        <v>23997.55</v>
      </c>
      <c r="C81">
        <v>23996.95</v>
      </c>
      <c r="D81">
        <v>24087.45</v>
      </c>
      <c r="E81">
        <v>23796.85</v>
      </c>
      <c r="F81">
        <v>505.52</v>
      </c>
      <c r="G81">
        <v>-0.74</v>
      </c>
    </row>
    <row r="82" spans="1:7">
      <c r="A82" s="1">
        <v>46146</v>
      </c>
      <c r="B82">
        <v>24119.3</v>
      </c>
      <c r="C82">
        <v>24063.55</v>
      </c>
      <c r="D82">
        <v>24290.2</v>
      </c>
      <c r="E82">
        <v>24004.75</v>
      </c>
      <c r="F82">
        <v>419.07</v>
      </c>
      <c r="G82">
        <v>0.51</v>
      </c>
    </row>
    <row r="83" spans="1:7">
      <c r="A83" s="1">
        <v>46147</v>
      </c>
      <c r="B83">
        <v>24032.799999999999</v>
      </c>
      <c r="C83">
        <v>24052.6</v>
      </c>
      <c r="D83">
        <v>24081.7</v>
      </c>
      <c r="E83">
        <v>23882.05</v>
      </c>
      <c r="F83">
        <v>363.3</v>
      </c>
      <c r="G83">
        <v>-0.36</v>
      </c>
    </row>
    <row r="84" spans="1:7">
      <c r="A84" s="1">
        <v>46148</v>
      </c>
      <c r="B84">
        <v>24330.95</v>
      </c>
      <c r="C84">
        <v>24171</v>
      </c>
      <c r="D84">
        <v>24356.5</v>
      </c>
      <c r="E84">
        <v>23997.9</v>
      </c>
      <c r="F84">
        <v>429.19</v>
      </c>
      <c r="G84">
        <v>1.24</v>
      </c>
    </row>
    <row r="85" spans="1:7">
      <c r="A85" s="1">
        <v>46149</v>
      </c>
      <c r="B85">
        <v>24326.65</v>
      </c>
      <c r="C85">
        <v>24398.5</v>
      </c>
      <c r="D85">
        <v>24482.1</v>
      </c>
      <c r="E85">
        <v>24284</v>
      </c>
      <c r="F85">
        <v>440.62</v>
      </c>
      <c r="G85">
        <v>-0.02</v>
      </c>
    </row>
    <row r="86" spans="1:7">
      <c r="A86" s="1">
        <v>46150</v>
      </c>
      <c r="B86">
        <v>24176.15</v>
      </c>
      <c r="C86">
        <v>24233.65</v>
      </c>
      <c r="D86">
        <v>24253.8</v>
      </c>
      <c r="E86">
        <v>24126.65</v>
      </c>
      <c r="F86">
        <v>335.89</v>
      </c>
      <c r="G86">
        <v>-0.62</v>
      </c>
    </row>
    <row r="87" spans="1:7">
      <c r="A87" s="1">
        <v>46153</v>
      </c>
      <c r="B87">
        <v>23815.85</v>
      </c>
      <c r="C87">
        <v>23970.1</v>
      </c>
      <c r="D87">
        <v>23997.45</v>
      </c>
      <c r="E87">
        <v>23799.1</v>
      </c>
      <c r="F87">
        <v>390.11</v>
      </c>
      <c r="G87">
        <v>-1.49</v>
      </c>
    </row>
    <row r="88" spans="1:7">
      <c r="A88" s="1">
        <v>46154</v>
      </c>
      <c r="B88">
        <v>23379.55</v>
      </c>
      <c r="C88">
        <v>23722.6</v>
      </c>
      <c r="D88">
        <v>23757.55</v>
      </c>
      <c r="E88">
        <v>23348.400000000001</v>
      </c>
      <c r="F88">
        <v>447.52</v>
      </c>
      <c r="G88">
        <v>-1.83</v>
      </c>
    </row>
    <row r="89" spans="1:7">
      <c r="A89" s="1">
        <v>46155</v>
      </c>
      <c r="B89">
        <v>23412.6</v>
      </c>
      <c r="C89">
        <v>23362.45</v>
      </c>
      <c r="D89">
        <v>23582.95</v>
      </c>
      <c r="E89">
        <v>23262.55</v>
      </c>
      <c r="F89">
        <v>415.36</v>
      </c>
      <c r="G89">
        <v>0.14000000000000001</v>
      </c>
    </row>
    <row r="90" spans="1:7">
      <c r="A90" s="1">
        <v>46156</v>
      </c>
      <c r="B90">
        <v>23689.599999999999</v>
      </c>
      <c r="C90">
        <v>23530.25</v>
      </c>
      <c r="D90">
        <v>23777.200000000001</v>
      </c>
      <c r="E90">
        <v>23426.55</v>
      </c>
      <c r="F90">
        <v>428.74</v>
      </c>
      <c r="G90">
        <v>1.18</v>
      </c>
    </row>
    <row r="91" spans="1:7">
      <c r="A91" s="1">
        <v>46157</v>
      </c>
      <c r="B91">
        <v>23643.5</v>
      </c>
      <c r="C91">
        <v>23731.4</v>
      </c>
      <c r="D91">
        <v>23839.3</v>
      </c>
      <c r="E91">
        <v>23610.3</v>
      </c>
      <c r="F91">
        <v>408.86</v>
      </c>
      <c r="G91">
        <v>-0.19</v>
      </c>
    </row>
    <row r="92" spans="1:7">
      <c r="A92" s="1">
        <v>46160</v>
      </c>
      <c r="B92">
        <v>23649.95</v>
      </c>
      <c r="C92">
        <v>23482.2</v>
      </c>
      <c r="D92">
        <v>23695.65</v>
      </c>
      <c r="E92">
        <v>23317.1</v>
      </c>
      <c r="F92">
        <v>391.97</v>
      </c>
      <c r="G92">
        <v>0.03</v>
      </c>
    </row>
    <row r="93" spans="1:7">
      <c r="A93" s="1">
        <v>46161</v>
      </c>
      <c r="B93">
        <v>23618</v>
      </c>
      <c r="C93">
        <v>23675.3</v>
      </c>
      <c r="D93">
        <v>23782.3</v>
      </c>
      <c r="E93">
        <v>23587.200000000001</v>
      </c>
      <c r="F93">
        <v>441.95</v>
      </c>
      <c r="G93">
        <v>-0.14000000000000001</v>
      </c>
    </row>
    <row r="94" spans="1:7">
      <c r="A94" s="1">
        <v>46162</v>
      </c>
      <c r="B94">
        <v>23659</v>
      </c>
      <c r="C94">
        <v>23457.25</v>
      </c>
      <c r="D94">
        <v>23690.9</v>
      </c>
      <c r="E94">
        <v>23397.3</v>
      </c>
      <c r="F94">
        <v>344.05</v>
      </c>
      <c r="G94">
        <v>0.17</v>
      </c>
    </row>
    <row r="95" spans="1:7">
      <c r="A95" s="1">
        <v>46163</v>
      </c>
      <c r="B95">
        <v>23654.7</v>
      </c>
      <c r="C95">
        <v>23830.05</v>
      </c>
      <c r="D95">
        <v>23859.9</v>
      </c>
      <c r="E95">
        <v>23596.6</v>
      </c>
      <c r="F95">
        <v>348.18</v>
      </c>
      <c r="G95">
        <v>-0.02</v>
      </c>
    </row>
    <row r="96" spans="1:7">
      <c r="A96" s="1">
        <v>46164</v>
      </c>
      <c r="B96">
        <v>23719.3</v>
      </c>
      <c r="C96">
        <v>23671.200000000001</v>
      </c>
      <c r="D96">
        <v>23835.65</v>
      </c>
      <c r="E96">
        <v>23671</v>
      </c>
      <c r="F96">
        <v>336.11</v>
      </c>
      <c r="G96">
        <v>0.27</v>
      </c>
    </row>
    <row r="97" spans="1:7">
      <c r="A97" s="1">
        <v>46167</v>
      </c>
      <c r="B97">
        <v>24031.7</v>
      </c>
      <c r="C97">
        <v>23940.25</v>
      </c>
      <c r="D97">
        <v>24054.45</v>
      </c>
      <c r="E97">
        <v>23922.85</v>
      </c>
      <c r="F97">
        <v>351.22</v>
      </c>
      <c r="G97">
        <v>1.32</v>
      </c>
    </row>
    <row r="98" spans="1:7">
      <c r="A98" s="1">
        <v>46168</v>
      </c>
      <c r="B98">
        <v>23913.7</v>
      </c>
      <c r="C98">
        <v>24004.1</v>
      </c>
      <c r="D98">
        <v>24089.8</v>
      </c>
      <c r="E98">
        <v>23885.45</v>
      </c>
      <c r="F98">
        <v>387.93</v>
      </c>
      <c r="G98">
        <v>-0.49</v>
      </c>
    </row>
    <row r="99" spans="1:7">
      <c r="A99" s="1">
        <v>46169</v>
      </c>
      <c r="B99">
        <v>23907.15</v>
      </c>
      <c r="C99">
        <v>23880.35</v>
      </c>
      <c r="D99">
        <v>23983.200000000001</v>
      </c>
      <c r="E99">
        <v>23858.25</v>
      </c>
      <c r="F99">
        <v>531.57000000000005</v>
      </c>
      <c r="G99">
        <v>-0.03</v>
      </c>
    </row>
    <row r="100" spans="1:7">
      <c r="A100" s="1">
        <v>46171</v>
      </c>
      <c r="B100">
        <v>23547.75</v>
      </c>
      <c r="C100">
        <v>23902.15</v>
      </c>
      <c r="D100">
        <v>24002.799999999999</v>
      </c>
      <c r="E100">
        <v>23484.75</v>
      </c>
      <c r="F100">
        <v>1200</v>
      </c>
      <c r="G100">
        <v>-1.5</v>
      </c>
    </row>
    <row r="101" spans="1:7">
      <c r="A101" s="1">
        <v>46174</v>
      </c>
      <c r="B101">
        <v>23382.6</v>
      </c>
      <c r="C101">
        <v>23654.5</v>
      </c>
      <c r="D101">
        <v>23733.7</v>
      </c>
      <c r="E101">
        <v>23357.95</v>
      </c>
      <c r="F101">
        <v>421.69</v>
      </c>
      <c r="G101">
        <v>-0.7</v>
      </c>
    </row>
    <row r="102" spans="1:7">
      <c r="A102" s="1">
        <v>46175</v>
      </c>
      <c r="B102">
        <v>23483.55</v>
      </c>
      <c r="C102">
        <v>23229.15</v>
      </c>
      <c r="D102">
        <v>23556.95</v>
      </c>
      <c r="E102">
        <v>23229.15</v>
      </c>
      <c r="F102">
        <v>511.85</v>
      </c>
      <c r="G102">
        <v>0.43</v>
      </c>
    </row>
    <row r="103" spans="1:7">
      <c r="A103" s="1">
        <v>46176</v>
      </c>
      <c r="B103">
        <v>23405.599999999999</v>
      </c>
      <c r="C103">
        <v>23415.95</v>
      </c>
      <c r="D103">
        <v>23459.65</v>
      </c>
      <c r="E103">
        <v>23151.5</v>
      </c>
      <c r="F103">
        <v>450.08</v>
      </c>
      <c r="G103">
        <v>-0.33</v>
      </c>
    </row>
    <row r="104" spans="1:7">
      <c r="A104" s="1">
        <v>46177</v>
      </c>
      <c r="B104">
        <v>23416.55</v>
      </c>
      <c r="C104">
        <v>23282.45</v>
      </c>
      <c r="D104">
        <v>23465.3</v>
      </c>
      <c r="E104">
        <v>23247.3</v>
      </c>
      <c r="F104">
        <v>412.51</v>
      </c>
      <c r="G104">
        <v>0.05</v>
      </c>
    </row>
    <row r="105" spans="1:7">
      <c r="A105" s="1">
        <v>46178</v>
      </c>
      <c r="B105">
        <v>23366.7</v>
      </c>
      <c r="C105">
        <v>23478.95</v>
      </c>
      <c r="D105">
        <v>23516.35</v>
      </c>
      <c r="E105">
        <v>23282.65</v>
      </c>
      <c r="F105">
        <v>366.21</v>
      </c>
      <c r="G105">
        <v>-0.21</v>
      </c>
    </row>
    <row r="106" spans="1:7">
      <c r="A106" s="1">
        <v>46181</v>
      </c>
      <c r="B106">
        <v>23123</v>
      </c>
      <c r="C106">
        <v>23080.7</v>
      </c>
      <c r="D106">
        <v>23267.3</v>
      </c>
      <c r="E106">
        <v>23070.15</v>
      </c>
      <c r="F106">
        <v>375.73</v>
      </c>
      <c r="G106">
        <v>-1.04</v>
      </c>
    </row>
    <row r="107" spans="1:7">
      <c r="A107" s="1">
        <v>46182</v>
      </c>
      <c r="B107">
        <v>23242.1</v>
      </c>
      <c r="C107">
        <v>23259.05</v>
      </c>
      <c r="D107">
        <v>23279.4</v>
      </c>
      <c r="E107">
        <v>23104.45</v>
      </c>
      <c r="F107">
        <v>402.55</v>
      </c>
      <c r="G107">
        <v>0.52</v>
      </c>
    </row>
    <row r="108" spans="1:7">
      <c r="A108" s="1">
        <v>46183</v>
      </c>
      <c r="B108">
        <v>23214.95</v>
      </c>
      <c r="C108">
        <v>23233.95</v>
      </c>
      <c r="D108">
        <v>23425.35</v>
      </c>
      <c r="E108">
        <v>23184.6</v>
      </c>
      <c r="F108">
        <v>380.03</v>
      </c>
      <c r="G108">
        <v>-0.12</v>
      </c>
    </row>
    <row r="109" spans="1:7">
      <c r="A109" s="1">
        <v>46184</v>
      </c>
      <c r="B109">
        <v>23161.599999999999</v>
      </c>
      <c r="C109">
        <v>23104.400000000001</v>
      </c>
      <c r="D109">
        <v>23327.45</v>
      </c>
      <c r="E109">
        <v>23072.05</v>
      </c>
      <c r="F109">
        <v>363</v>
      </c>
      <c r="G109">
        <v>-0.23</v>
      </c>
    </row>
    <row r="110" spans="1:7">
      <c r="A110" s="1">
        <v>46185</v>
      </c>
      <c r="B110">
        <v>23622.9</v>
      </c>
      <c r="C110">
        <v>23412.55</v>
      </c>
      <c r="D110">
        <v>23645.35</v>
      </c>
      <c r="E110">
        <v>23313.9</v>
      </c>
      <c r="F110">
        <v>351.94</v>
      </c>
      <c r="G110">
        <v>1.99</v>
      </c>
    </row>
    <row r="111" spans="1:7">
      <c r="A111" s="1">
        <v>46188</v>
      </c>
      <c r="B111">
        <v>23853.9</v>
      </c>
      <c r="C111">
        <v>23984.85</v>
      </c>
      <c r="D111">
        <v>24011.4</v>
      </c>
      <c r="E111">
        <v>23817.8</v>
      </c>
      <c r="F111">
        <v>398.91</v>
      </c>
      <c r="G111">
        <v>0.98</v>
      </c>
    </row>
    <row r="112" spans="1:7">
      <c r="A112" s="1">
        <v>46189</v>
      </c>
      <c r="B112">
        <v>23989.15</v>
      </c>
      <c r="C112">
        <v>23923.9</v>
      </c>
      <c r="D112">
        <v>24002.6</v>
      </c>
      <c r="E112">
        <v>23888.2</v>
      </c>
      <c r="F112">
        <v>327.31</v>
      </c>
      <c r="G112">
        <v>0.56999999999999995</v>
      </c>
    </row>
    <row r="113" spans="1:7">
      <c r="A113" s="1">
        <v>46190</v>
      </c>
      <c r="B113">
        <v>24085.7</v>
      </c>
      <c r="C113">
        <v>24044.5</v>
      </c>
      <c r="D113">
        <v>24108.2</v>
      </c>
      <c r="E113">
        <v>23969.7</v>
      </c>
      <c r="F113">
        <v>352.67</v>
      </c>
      <c r="G113">
        <v>0.4</v>
      </c>
    </row>
    <row r="114" spans="1:7">
      <c r="A114" s="1">
        <v>46191</v>
      </c>
      <c r="B114">
        <v>24168</v>
      </c>
      <c r="C114">
        <v>24073.8</v>
      </c>
      <c r="D114">
        <v>24189.25</v>
      </c>
      <c r="E114">
        <v>24036.95</v>
      </c>
      <c r="F114">
        <v>339.99</v>
      </c>
      <c r="G114">
        <v>0.34</v>
      </c>
    </row>
    <row r="115" spans="1:7">
      <c r="A115" s="1">
        <v>46192</v>
      </c>
      <c r="B115">
        <v>24013.1</v>
      </c>
      <c r="C115">
        <v>23991.200000000001</v>
      </c>
      <c r="D115">
        <v>24047.200000000001</v>
      </c>
      <c r="E115">
        <v>23901.9</v>
      </c>
      <c r="F115">
        <v>447.86</v>
      </c>
      <c r="G115">
        <v>-0.64</v>
      </c>
    </row>
    <row r="116" spans="1:7">
      <c r="A116" s="1">
        <v>46195</v>
      </c>
      <c r="B116">
        <v>24102.9</v>
      </c>
      <c r="C116">
        <v>24106.6</v>
      </c>
      <c r="D116">
        <v>24168.05</v>
      </c>
      <c r="E116">
        <v>24073.15</v>
      </c>
      <c r="F116">
        <v>252.82</v>
      </c>
      <c r="G116">
        <v>0.37</v>
      </c>
    </row>
    <row r="117" spans="1:7">
      <c r="A117" s="1">
        <v>46196</v>
      </c>
      <c r="B117">
        <v>23824.1</v>
      </c>
      <c r="C117">
        <v>24071.3</v>
      </c>
      <c r="D117">
        <v>24135.5</v>
      </c>
      <c r="E117">
        <v>23784.95</v>
      </c>
      <c r="F117">
        <v>340.09</v>
      </c>
      <c r="G117">
        <v>-1.1599999999999999</v>
      </c>
    </row>
    <row r="118" spans="1:7">
      <c r="A118" s="1">
        <v>46197</v>
      </c>
      <c r="B118">
        <v>24021.65</v>
      </c>
      <c r="C118">
        <v>23795.8</v>
      </c>
      <c r="D118">
        <v>24090.05</v>
      </c>
      <c r="E118">
        <v>23789.25</v>
      </c>
      <c r="F118">
        <v>395.58</v>
      </c>
      <c r="G118">
        <v>0.83</v>
      </c>
    </row>
    <row r="119" spans="1:7">
      <c r="A119" s="1">
        <v>46198</v>
      </c>
      <c r="B119">
        <v>24056</v>
      </c>
      <c r="C119">
        <v>24125.85</v>
      </c>
      <c r="D119">
        <v>24261.599999999999</v>
      </c>
      <c r="E119">
        <v>24039</v>
      </c>
      <c r="F119">
        <v>448.75</v>
      </c>
      <c r="G119">
        <v>0.14000000000000001</v>
      </c>
    </row>
    <row r="120" spans="1:7">
      <c r="A120" s="1">
        <v>46202</v>
      </c>
      <c r="B120">
        <v>23946.25</v>
      </c>
      <c r="C120">
        <v>24061.75</v>
      </c>
      <c r="D120">
        <v>24119.25</v>
      </c>
      <c r="E120">
        <v>23925.95</v>
      </c>
      <c r="F120">
        <v>588.5</v>
      </c>
      <c r="G120">
        <v>-0.46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1BC8-A970-4E23-8579-273AC17412E5}">
  <sheetPr>
    <tabColor theme="9" tint="0.79998168889431442"/>
  </sheetPr>
  <dimension ref="A1:E20"/>
  <sheetViews>
    <sheetView showGridLines="0" showRowColHeaders="0" zoomScale="107" workbookViewId="0">
      <selection activeCell="A13" sqref="A13:XFD13"/>
    </sheetView>
  </sheetViews>
  <sheetFormatPr defaultRowHeight="14.45"/>
  <cols>
    <col min="1" max="1" width="23.28515625" bestFit="1" customWidth="1"/>
    <col min="2" max="2" width="23.85546875" customWidth="1"/>
    <col min="3" max="3" width="48.140625" customWidth="1"/>
    <col min="4" max="4" width="57.7109375" bestFit="1" customWidth="1"/>
  </cols>
  <sheetData>
    <row r="1" spans="1:5" s="2" customFormat="1">
      <c r="A1" s="28" t="s">
        <v>76</v>
      </c>
      <c r="B1" s="28" t="s">
        <v>77</v>
      </c>
      <c r="C1" s="28" t="s">
        <v>78</v>
      </c>
      <c r="D1" s="28" t="s">
        <v>79</v>
      </c>
    </row>
    <row r="2" spans="1:5" ht="28.9">
      <c r="A2" s="16" t="s">
        <v>80</v>
      </c>
      <c r="B2" s="16" t="s">
        <v>81</v>
      </c>
      <c r="C2" s="16" t="s">
        <v>82</v>
      </c>
      <c r="D2" s="16" t="s">
        <v>83</v>
      </c>
    </row>
    <row r="3" spans="1:5" ht="28.9">
      <c r="A3" s="16" t="s">
        <v>84</v>
      </c>
      <c r="B3" s="16" t="s">
        <v>85</v>
      </c>
      <c r="C3" s="16" t="s">
        <v>86</v>
      </c>
      <c r="D3" s="16" t="s">
        <v>87</v>
      </c>
    </row>
    <row r="4" spans="1:5" ht="43.15">
      <c r="A4" s="16" t="s">
        <v>88</v>
      </c>
      <c r="B4" s="16" t="s">
        <v>89</v>
      </c>
      <c r="C4" s="16" t="s">
        <v>90</v>
      </c>
      <c r="D4" s="16" t="s">
        <v>91</v>
      </c>
    </row>
    <row r="5" spans="1:5" ht="28.9">
      <c r="A5" s="16" t="s">
        <v>92</v>
      </c>
      <c r="B5" s="16" t="s">
        <v>93</v>
      </c>
      <c r="C5" s="16" t="s">
        <v>94</v>
      </c>
      <c r="D5" s="16" t="s">
        <v>95</v>
      </c>
    </row>
    <row r="6" spans="1:5" ht="28.9">
      <c r="A6" s="16" t="s">
        <v>96</v>
      </c>
      <c r="B6" s="16" t="s">
        <v>97</v>
      </c>
      <c r="C6" s="16" t="s">
        <v>98</v>
      </c>
      <c r="D6" s="16" t="s">
        <v>99</v>
      </c>
    </row>
    <row r="7" spans="1:5" ht="28.9">
      <c r="A7" s="16" t="s">
        <v>100</v>
      </c>
      <c r="B7" s="16" t="s">
        <v>101</v>
      </c>
      <c r="C7" s="16" t="s">
        <v>102</v>
      </c>
      <c r="D7" s="16" t="s">
        <v>103</v>
      </c>
    </row>
    <row r="8" spans="1:5" ht="28.9">
      <c r="A8" s="16" t="s">
        <v>104</v>
      </c>
      <c r="B8" s="16" t="s">
        <v>105</v>
      </c>
      <c r="C8" s="16" t="s">
        <v>106</v>
      </c>
      <c r="D8" s="16" t="s">
        <v>107</v>
      </c>
    </row>
    <row r="9" spans="1:5" ht="57.6">
      <c r="A9" s="17" t="s">
        <v>108</v>
      </c>
      <c r="B9" s="17" t="s">
        <v>109</v>
      </c>
      <c r="C9" s="16" t="s">
        <v>110</v>
      </c>
      <c r="D9" s="16" t="s">
        <v>111</v>
      </c>
    </row>
    <row r="13" spans="1:5" s="2" customFormat="1">
      <c r="A13" s="29" t="s">
        <v>112</v>
      </c>
      <c r="B13" s="29" t="s">
        <v>113</v>
      </c>
      <c r="C13" s="29" t="s">
        <v>114</v>
      </c>
      <c r="D13" s="29" t="s">
        <v>115</v>
      </c>
      <c r="E13" s="29" t="s">
        <v>116</v>
      </c>
    </row>
    <row r="14" spans="1:5" ht="28.9">
      <c r="A14" s="18" t="s">
        <v>117</v>
      </c>
      <c r="B14" s="18" t="s">
        <v>118</v>
      </c>
      <c r="C14" s="18" t="s">
        <v>119</v>
      </c>
      <c r="D14" s="18" t="s">
        <v>120</v>
      </c>
      <c r="E14" s="18" t="s">
        <v>121</v>
      </c>
    </row>
    <row r="15" spans="1:5">
      <c r="A15" s="18" t="s">
        <v>122</v>
      </c>
      <c r="B15" s="18" t="s">
        <v>123</v>
      </c>
      <c r="C15" s="18">
        <v>-1216.808</v>
      </c>
      <c r="D15" s="18">
        <v>-1216.808</v>
      </c>
      <c r="E15" s="18" t="s">
        <v>121</v>
      </c>
    </row>
    <row r="16" spans="1:5">
      <c r="A16" s="18" t="s">
        <v>124</v>
      </c>
      <c r="B16" s="18" t="s">
        <v>125</v>
      </c>
      <c r="C16" s="18">
        <v>1335.2</v>
      </c>
      <c r="D16" s="18">
        <v>1335.2</v>
      </c>
      <c r="E16" s="18" t="s">
        <v>121</v>
      </c>
    </row>
    <row r="17" spans="1:5">
      <c r="A17" s="18" t="s">
        <v>126</v>
      </c>
      <c r="B17" s="18" t="s">
        <v>127</v>
      </c>
      <c r="C17" s="19">
        <v>0.7974</v>
      </c>
      <c r="D17" s="19">
        <v>0.7974</v>
      </c>
      <c r="E17" s="18" t="s">
        <v>121</v>
      </c>
    </row>
    <row r="18" spans="1:5">
      <c r="A18" s="18" t="s">
        <v>128</v>
      </c>
      <c r="B18" s="18" t="s">
        <v>129</v>
      </c>
      <c r="C18" s="18">
        <v>0</v>
      </c>
      <c r="D18" s="18">
        <v>0</v>
      </c>
      <c r="E18" s="18" t="s">
        <v>121</v>
      </c>
    </row>
    <row r="19" spans="1:5" ht="28.9">
      <c r="A19" s="18" t="s">
        <v>130</v>
      </c>
      <c r="B19" s="18" t="s">
        <v>131</v>
      </c>
      <c r="C19" s="18" t="s">
        <v>132</v>
      </c>
      <c r="D19" s="18" t="s">
        <v>133</v>
      </c>
      <c r="E19" s="18" t="s">
        <v>121</v>
      </c>
    </row>
    <row r="20" spans="1:5">
      <c r="A20" s="18" t="s">
        <v>134</v>
      </c>
      <c r="B20" s="18" t="s">
        <v>135</v>
      </c>
      <c r="C20" s="18" t="s">
        <v>136</v>
      </c>
      <c r="D20" s="18" t="s">
        <v>133</v>
      </c>
      <c r="E20" s="18" t="s">
        <v>121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AC3E-9EE4-479E-8E66-1DE1F602F6D0}">
  <sheetPr>
    <tabColor theme="2" tint="-9.9978637043366805E-2"/>
  </sheetPr>
  <dimension ref="A1:B17"/>
  <sheetViews>
    <sheetView showGridLines="0" showRowColHeaders="0" workbookViewId="0">
      <selection activeCell="B7" sqref="B7"/>
    </sheetView>
  </sheetViews>
  <sheetFormatPr defaultRowHeight="14.45"/>
  <cols>
    <col min="1" max="1" width="20.85546875" customWidth="1"/>
    <col min="2" max="2" width="30.28515625" customWidth="1"/>
  </cols>
  <sheetData>
    <row r="1" spans="1:2" ht="15.6">
      <c r="A1" s="3" t="s">
        <v>137</v>
      </c>
      <c r="B1" s="4" t="s">
        <v>138</v>
      </c>
    </row>
    <row r="2" spans="1:2" ht="31.15">
      <c r="A2" s="5" t="s">
        <v>25</v>
      </c>
      <c r="B2" s="6" t="s">
        <v>25</v>
      </c>
    </row>
    <row r="3" spans="1:2" ht="15.6">
      <c r="A3" s="5" t="s">
        <v>139</v>
      </c>
      <c r="B3" s="6" t="s">
        <v>25</v>
      </c>
    </row>
    <row r="4" spans="1:2" ht="15.6">
      <c r="A4" s="5" t="s">
        <v>140</v>
      </c>
      <c r="B4" s="6" t="s">
        <v>25</v>
      </c>
    </row>
    <row r="5" spans="1:2" ht="15.6">
      <c r="A5" s="5" t="s">
        <v>29</v>
      </c>
      <c r="B5" s="6" t="s">
        <v>29</v>
      </c>
    </row>
    <row r="6" spans="1:2" ht="15.6">
      <c r="A6" s="5" t="s">
        <v>141</v>
      </c>
      <c r="B6" s="6" t="s">
        <v>29</v>
      </c>
    </row>
    <row r="7" spans="1:2" ht="15.6">
      <c r="A7" s="5" t="s">
        <v>142</v>
      </c>
      <c r="B7" s="6" t="s">
        <v>29</v>
      </c>
    </row>
    <row r="8" spans="1:2" ht="15.6">
      <c r="A8" s="5" t="s">
        <v>32</v>
      </c>
      <c r="B8" s="6" t="s">
        <v>32</v>
      </c>
    </row>
    <row r="9" spans="1:2" ht="15.6">
      <c r="A9" s="5" t="s">
        <v>143</v>
      </c>
      <c r="B9" s="6" t="s">
        <v>32</v>
      </c>
    </row>
    <row r="10" spans="1:2" ht="15.6">
      <c r="A10" s="5" t="s">
        <v>144</v>
      </c>
      <c r="B10" s="6" t="s">
        <v>32</v>
      </c>
    </row>
    <row r="11" spans="1:2" ht="15.6">
      <c r="A11" s="5" t="s">
        <v>21</v>
      </c>
      <c r="B11" s="6" t="s">
        <v>21</v>
      </c>
    </row>
    <row r="12" spans="1:2" ht="15.6">
      <c r="A12" s="5" t="s">
        <v>26</v>
      </c>
      <c r="B12" s="6" t="s">
        <v>26</v>
      </c>
    </row>
    <row r="13" spans="1:2" ht="15.6">
      <c r="A13" s="5" t="s">
        <v>24</v>
      </c>
      <c r="B13" s="6" t="s">
        <v>24</v>
      </c>
    </row>
    <row r="14" spans="1:2" ht="15.6">
      <c r="A14" s="5" t="s">
        <v>27</v>
      </c>
      <c r="B14" s="6" t="s">
        <v>27</v>
      </c>
    </row>
    <row r="15" spans="1:2" ht="15.6">
      <c r="A15" s="5" t="s">
        <v>28</v>
      </c>
      <c r="B15" s="6" t="s">
        <v>28</v>
      </c>
    </row>
    <row r="16" spans="1:2" ht="15.6">
      <c r="A16" s="5" t="s">
        <v>30</v>
      </c>
      <c r="B16" s="6" t="s">
        <v>30</v>
      </c>
    </row>
    <row r="17" spans="1:2" ht="15.6">
      <c r="A17" s="7" t="s">
        <v>31</v>
      </c>
      <c r="B17" s="8" t="s">
        <v>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623153-B8F4-47FB-8B34-42993B37B6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Helan Preethi</dc:creator>
  <cp:keywords/>
  <dc:description/>
  <cp:lastModifiedBy/>
  <cp:revision/>
  <dcterms:created xsi:type="dcterms:W3CDTF">2026-06-30T07:07:36Z</dcterms:created>
  <dcterms:modified xsi:type="dcterms:W3CDTF">2026-10-09T15:16:07Z</dcterms:modified>
  <cp:category/>
  <cp:contentStatus/>
</cp:coreProperties>
</file>